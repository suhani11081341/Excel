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E:\online video\"/>
    </mc:Choice>
  </mc:AlternateContent>
  <xr:revisionPtr revIDLastSave="0" documentId="13_ncr:1_{3311F0D8-535F-4FFC-8F3A-A63B3E5C47E4}" xr6:coauthVersionLast="47" xr6:coauthVersionMax="47" xr10:uidLastSave="{00000000-0000-0000-0000-000000000000}"/>
  <bookViews>
    <workbookView xWindow="-108" yWindow="-108" windowWidth="23256" windowHeight="12456" activeTab="1" xr2:uid="{450694C5-7D36-4DFA-914A-A54F51723078}"/>
  </bookViews>
  <sheets>
    <sheet name="Pivot" sheetId="2" r:id="rId1"/>
    <sheet name="Dashboard" sheetId="3" r:id="rId2"/>
    <sheet name="Data" sheetId="1" r:id="rId3"/>
  </sheets>
  <definedNames>
    <definedName name="Slicer_City">#N/A</definedName>
    <definedName name="Slicer_Sale_Type">#N/A</definedName>
    <definedName name="Slicer_Service">#N/A</definedName>
  </definedNames>
  <calcPr calcId="191029"/>
  <pivotCaches>
    <pivotCache cacheId="3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21" i="1" l="1"/>
  <c r="B121" i="1"/>
  <c r="C120" i="1"/>
  <c r="B120" i="1"/>
  <c r="C119" i="1"/>
  <c r="B119" i="1"/>
  <c r="C118" i="1"/>
  <c r="B118" i="1"/>
  <c r="C117" i="1"/>
  <c r="B117" i="1"/>
  <c r="C116" i="1"/>
  <c r="B116" i="1"/>
  <c r="C115" i="1"/>
  <c r="B115" i="1"/>
  <c r="C114" i="1"/>
  <c r="B114" i="1"/>
  <c r="C113" i="1"/>
  <c r="B113" i="1"/>
  <c r="C112" i="1"/>
  <c r="B112" i="1"/>
  <c r="C111" i="1"/>
  <c r="B111" i="1"/>
  <c r="C110" i="1"/>
  <c r="B110" i="1"/>
  <c r="C109" i="1"/>
  <c r="B109" i="1"/>
  <c r="C108" i="1"/>
  <c r="B108" i="1"/>
  <c r="C107" i="1"/>
  <c r="B107" i="1"/>
  <c r="C106" i="1"/>
  <c r="B106" i="1"/>
  <c r="C105" i="1"/>
  <c r="B105" i="1"/>
  <c r="C104" i="1"/>
  <c r="B104" i="1"/>
  <c r="C103" i="1"/>
  <c r="B103" i="1"/>
  <c r="C102" i="1"/>
  <c r="B102" i="1"/>
  <c r="C101" i="1"/>
  <c r="B101" i="1"/>
  <c r="C100" i="1"/>
  <c r="B100" i="1"/>
  <c r="C99" i="1"/>
  <c r="B99" i="1"/>
  <c r="C98" i="1"/>
  <c r="B98" i="1"/>
  <c r="C97" i="1"/>
  <c r="B97" i="1"/>
  <c r="C96" i="1"/>
  <c r="B96" i="1"/>
  <c r="C95" i="1"/>
  <c r="B95" i="1"/>
  <c r="C94" i="1"/>
  <c r="B94" i="1"/>
  <c r="C93" i="1"/>
  <c r="B93" i="1"/>
  <c r="C92" i="1"/>
  <c r="B92" i="1"/>
  <c r="C91" i="1"/>
  <c r="B91" i="1"/>
  <c r="C90" i="1"/>
  <c r="B90" i="1"/>
  <c r="C89" i="1"/>
  <c r="B89" i="1"/>
  <c r="C88" i="1"/>
  <c r="B88" i="1"/>
  <c r="C87" i="1"/>
  <c r="B87" i="1"/>
  <c r="C86" i="1"/>
  <c r="B86" i="1"/>
  <c r="C85" i="1"/>
  <c r="B85" i="1"/>
  <c r="C84" i="1"/>
  <c r="B84" i="1"/>
  <c r="C83" i="1"/>
  <c r="B83" i="1"/>
  <c r="C82" i="1"/>
  <c r="B82" i="1"/>
  <c r="C81" i="1"/>
  <c r="B81" i="1"/>
  <c r="C80" i="1"/>
  <c r="B80" i="1"/>
  <c r="C79" i="1"/>
  <c r="B79" i="1"/>
  <c r="C78" i="1"/>
  <c r="B78" i="1"/>
  <c r="C77" i="1"/>
  <c r="B77" i="1"/>
  <c r="C76" i="1"/>
  <c r="B76" i="1"/>
  <c r="C75" i="1"/>
  <c r="B75" i="1"/>
  <c r="C74" i="1"/>
  <c r="B74" i="1"/>
  <c r="C73" i="1"/>
  <c r="B73" i="1"/>
  <c r="C72" i="1"/>
  <c r="B72" i="1"/>
  <c r="C71" i="1"/>
  <c r="B71" i="1"/>
  <c r="C70" i="1"/>
  <c r="B70" i="1"/>
  <c r="C69" i="1"/>
  <c r="B69" i="1"/>
  <c r="C68" i="1"/>
  <c r="B68" i="1"/>
  <c r="C67" i="1"/>
  <c r="B67" i="1"/>
  <c r="C66" i="1"/>
  <c r="B66" i="1"/>
  <c r="C65" i="1"/>
  <c r="B65" i="1"/>
  <c r="C64" i="1"/>
  <c r="B64" i="1"/>
  <c r="C63" i="1"/>
  <c r="B63" i="1"/>
  <c r="C62" i="1"/>
  <c r="B62" i="1"/>
  <c r="C61" i="1"/>
  <c r="B61" i="1"/>
  <c r="C60" i="1"/>
  <c r="B60" i="1"/>
  <c r="C59" i="1"/>
  <c r="B59" i="1"/>
  <c r="C58" i="1"/>
  <c r="B58" i="1"/>
  <c r="C57" i="1"/>
  <c r="B57" i="1"/>
  <c r="C56" i="1"/>
  <c r="B56" i="1"/>
  <c r="C55" i="1"/>
  <c r="B55" i="1"/>
  <c r="C54" i="1"/>
  <c r="B54" i="1"/>
  <c r="C53" i="1"/>
  <c r="B53" i="1"/>
  <c r="C52" i="1"/>
  <c r="B52" i="1"/>
  <c r="C51" i="1"/>
  <c r="B51" i="1"/>
  <c r="C50" i="1"/>
  <c r="B50" i="1"/>
  <c r="C49" i="1"/>
  <c r="B49" i="1"/>
  <c r="C48" i="1"/>
  <c r="B48" i="1"/>
  <c r="C47" i="1"/>
  <c r="B47" i="1"/>
  <c r="C46" i="1"/>
  <c r="B46" i="1"/>
  <c r="C45" i="1"/>
  <c r="B45" i="1"/>
  <c r="C44" i="1"/>
  <c r="B44" i="1"/>
  <c r="C43" i="1"/>
  <c r="B43" i="1"/>
  <c r="C42" i="1"/>
  <c r="B42" i="1"/>
  <c r="C41" i="1"/>
  <c r="B41" i="1"/>
  <c r="C40" i="1"/>
  <c r="B40" i="1"/>
  <c r="C39" i="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C13" i="1"/>
  <c r="B13" i="1"/>
  <c r="C12" i="1"/>
  <c r="B12" i="1"/>
  <c r="C11" i="1"/>
  <c r="B11" i="1"/>
  <c r="C10" i="1"/>
  <c r="B10" i="1"/>
  <c r="C9" i="1"/>
  <c r="B9" i="1"/>
  <c r="C8" i="1"/>
  <c r="B8" i="1"/>
  <c r="C7" i="1"/>
  <c r="B7" i="1"/>
  <c r="C6" i="1"/>
  <c r="B6" i="1"/>
  <c r="C5" i="1"/>
  <c r="B5" i="1"/>
  <c r="C4" i="1"/>
  <c r="B4" i="1"/>
  <c r="C3" i="1"/>
  <c r="B3" i="1"/>
  <c r="C2" i="1"/>
  <c r="B2" i="1"/>
</calcChain>
</file>

<file path=xl/sharedStrings.xml><?xml version="1.0" encoding="utf-8"?>
<sst xmlns="http://schemas.openxmlformats.org/spreadsheetml/2006/main" count="1080" uniqueCount="66">
  <si>
    <t>Date</t>
  </si>
  <si>
    <t>Month</t>
  </si>
  <si>
    <t>Year</t>
  </si>
  <si>
    <t>Customer Name</t>
  </si>
  <si>
    <t>Customer Type</t>
  </si>
  <si>
    <t>Service</t>
  </si>
  <si>
    <t>Department</t>
  </si>
  <si>
    <t>City</t>
  </si>
  <si>
    <t>Sales Amount</t>
  </si>
  <si>
    <t>Margin %</t>
  </si>
  <si>
    <t>Margin Amount</t>
  </si>
  <si>
    <t>Sale Type</t>
  </si>
  <si>
    <t>Customer Source</t>
  </si>
  <si>
    <t>Package Type</t>
  </si>
  <si>
    <t>Fatima Saeed</t>
  </si>
  <si>
    <t>Individual</t>
  </si>
  <si>
    <t>Web Dev</t>
  </si>
  <si>
    <t>Design</t>
  </si>
  <si>
    <t>Ajman</t>
  </si>
  <si>
    <t>Repeat Sale</t>
  </si>
  <si>
    <t>Organic</t>
  </si>
  <si>
    <t>Quarterly</t>
  </si>
  <si>
    <t>Altura Networks</t>
  </si>
  <si>
    <t>SEO</t>
  </si>
  <si>
    <t>Copywriting</t>
  </si>
  <si>
    <t>New Sale</t>
  </si>
  <si>
    <t>Walk in</t>
  </si>
  <si>
    <t>Annual</t>
  </si>
  <si>
    <t>Quantaa Sphere Tech</t>
  </si>
  <si>
    <t>Ads</t>
  </si>
  <si>
    <t>Marketing</t>
  </si>
  <si>
    <t>Dubai</t>
  </si>
  <si>
    <t>Bi Annual</t>
  </si>
  <si>
    <t>App Dev</t>
  </si>
  <si>
    <t>BrightEdge Solutions</t>
  </si>
  <si>
    <t>Company</t>
  </si>
  <si>
    <t>Abu Dhabi</t>
  </si>
  <si>
    <t>Monthly</t>
  </si>
  <si>
    <t>Al Ain</t>
  </si>
  <si>
    <t>UrbanLeaf</t>
  </si>
  <si>
    <t>Synergenix Labs</t>
  </si>
  <si>
    <t>Sharjah</t>
  </si>
  <si>
    <t>NovaTech</t>
  </si>
  <si>
    <t>Social Media</t>
  </si>
  <si>
    <t>Aetherion Systems</t>
  </si>
  <si>
    <t>Sara Ahmed</t>
  </si>
  <si>
    <t>Stratoscope</t>
  </si>
  <si>
    <t>Nexa Core</t>
  </si>
  <si>
    <t>Omar Ali</t>
  </si>
  <si>
    <t>Basma Nasser</t>
  </si>
  <si>
    <t>Layla Al Dhahani</t>
  </si>
  <si>
    <t>Luminex Global</t>
  </si>
  <si>
    <t>Total Sales</t>
  </si>
  <si>
    <t>Values</t>
  </si>
  <si>
    <t>Total Margin</t>
  </si>
  <si>
    <t>Total Orders</t>
  </si>
  <si>
    <t>Row Labels</t>
  </si>
  <si>
    <t>Grand Total</t>
  </si>
  <si>
    <t>Sales</t>
  </si>
  <si>
    <t>Margin</t>
  </si>
  <si>
    <t>2023</t>
  </si>
  <si>
    <t>January</t>
  </si>
  <si>
    <t>February</t>
  </si>
  <si>
    <t>March</t>
  </si>
  <si>
    <t>Orders</t>
  </si>
  <si>
    <t>Avg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</si>
</sst>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164" fontId="0" fillId="0" borderId="0" xfId="0" applyNumberFormat="1"/>
    <xf numFmtId="0" fontId="0" fillId="0" borderId="0" xfId="0" applyNumberFormat="1"/>
    <xf numFmtId="0" fontId="0" fillId="0" borderId="0" xfId="0" applyAlignment="1">
      <alignment horizontal="left"/>
    </xf>
    <xf numFmtId="0" fontId="0" fillId="0" borderId="0" xfId="0" applyAlignment="1">
      <alignment horizontal="left" indent="1"/>
    </xf>
  </cellXfs>
  <cellStyles count="1">
    <cellStyle name="Normal" xfId="0" builtinId="0"/>
  </cellStyles>
  <dxfs count="16">
    <dxf>
      <numFmt numFmtId="164" formatCode="dd\-mmm\-yyyy"/>
      <fill>
        <patternFill patternType="none">
          <fgColor indexed="64"/>
          <bgColor auto="1"/>
        </patternFill>
      </fill>
    </dxf>
    <dxf>
      <numFmt numFmtId="0" formatCode="General"/>
      <fill>
        <patternFill patternType="none">
          <fgColor indexed="64"/>
          <bgColor indexed="6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indexed="65"/>
        </patternFill>
      </fill>
    </dxf>
    <dxf>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[Sales_Dataset.xlsx]Pivot!pt_sales_trend</c:name>
    <c:fmtId val="0"/>
  </c:pivotSource>
  <c:chart>
    <c:title>
      <c:tx>
        <c:rich>
          <a:bodyPr/>
          <a:lstStyle/>
          <a:p>
            <a:pPr>
              <a:defRPr/>
            </a:pPr>
            <a:r>
              <a:rPr lang="en-IN"/>
              <a:t>Monthly Sales &amp; Margin Trend</a:t>
            </a:r>
          </a:p>
        </c:rich>
      </c:tx>
      <c:overlay val="0"/>
    </c:title>
    <c:autoTitleDeleted val="0"/>
    <c:pivotFmts>
      <c:pivotFmt>
        <c:idx val="0"/>
        <c:dLbl>
          <c:idx val="0"/>
          <c:spPr>
            <a:noFill/>
            <a:ln>
              <a:noFill/>
            </a:ln>
            <a:effectLst/>
          </c:spPr>
          <c:txPr>
            <a:bodyPr wrap="square" lIns="38100" tIns="19050" rIns="38100" bIns="19050" anchor="ctr">
              <a:spAutoFit/>
            </a:bodyPr>
            <a:lstStyle/>
            <a:p>
              <a:pPr>
                <a:defRPr b="1"/>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spPr>
            <a:noFill/>
            <a:ln>
              <a:noFill/>
            </a:ln>
            <a:effectLst/>
          </c:spPr>
          <c:txPr>
            <a:bodyPr wrap="square" lIns="38100" tIns="19050" rIns="38100" bIns="19050" anchor="ctr">
              <a:spAutoFit/>
            </a:bodyPr>
            <a:lstStyle/>
            <a:p>
              <a:pPr>
                <a:defRPr b="1"/>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Pivot!$B$7:$B$8</c:f>
              <c:strCache>
                <c:ptCount val="1"/>
                <c:pt idx="0">
                  <c:v>Sales</c:v>
                </c:pt>
              </c:strCache>
            </c:strRef>
          </c:tx>
          <c:dLbls>
            <c:spPr>
              <a:noFill/>
              <a:ln>
                <a:noFill/>
              </a:ln>
              <a:effectLst/>
            </c:spPr>
            <c:txPr>
              <a:bodyPr wrap="square" lIns="38100" tIns="19050" rIns="38100" bIns="19050" anchor="ctr">
                <a:spAutoFit/>
              </a:bodyPr>
              <a:lstStyle/>
              <a:p>
                <a:pPr>
                  <a:defRPr b="1"/>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Pivot!$A$9:$A$15</c:f>
              <c:multiLvlStrCache>
                <c:ptCount val="3"/>
                <c:lvl>
                  <c:pt idx="0">
                    <c:v>2023</c:v>
                  </c:pt>
                  <c:pt idx="1">
                    <c:v>2023</c:v>
                  </c:pt>
                  <c:pt idx="2">
                    <c:v>2023</c:v>
                  </c:pt>
                </c:lvl>
                <c:lvl>
                  <c:pt idx="0">
                    <c:v>January</c:v>
                  </c:pt>
                  <c:pt idx="1">
                    <c:v>February</c:v>
                  </c:pt>
                  <c:pt idx="2">
                    <c:v>March</c:v>
                  </c:pt>
                </c:lvl>
              </c:multiLvlStrCache>
            </c:multiLvlStrRef>
          </c:cat>
          <c:val>
            <c:numRef>
              <c:f>Pivot!$B$9:$B$15</c:f>
              <c:numCache>
                <c:formatCode>General</c:formatCode>
                <c:ptCount val="3"/>
                <c:pt idx="0">
                  <c:v>151323</c:v>
                </c:pt>
                <c:pt idx="1">
                  <c:v>141612</c:v>
                </c:pt>
                <c:pt idx="2">
                  <c:v>178627</c:v>
                </c:pt>
              </c:numCache>
            </c:numRef>
          </c:val>
          <c:smooth val="0"/>
          <c:extLst>
            <c:ext xmlns:c16="http://schemas.microsoft.com/office/drawing/2014/chart" uri="{C3380CC4-5D6E-409C-BE32-E72D297353CC}">
              <c16:uniqueId val="{00000000-C050-406F-A6E7-9EB3C597D9D0}"/>
            </c:ext>
          </c:extLst>
        </c:ser>
        <c:ser>
          <c:idx val="1"/>
          <c:order val="1"/>
          <c:tx>
            <c:strRef>
              <c:f>Pivot!$C$7:$C$8</c:f>
              <c:strCache>
                <c:ptCount val="1"/>
                <c:pt idx="0">
                  <c:v>Margin</c:v>
                </c:pt>
              </c:strCache>
            </c:strRef>
          </c:tx>
          <c:dLbls>
            <c:spPr>
              <a:noFill/>
              <a:ln>
                <a:noFill/>
              </a:ln>
              <a:effectLst/>
            </c:spPr>
            <c:txPr>
              <a:bodyPr wrap="square" lIns="38100" tIns="19050" rIns="38100" bIns="19050" anchor="ctr">
                <a:spAutoFit/>
              </a:bodyPr>
              <a:lstStyle/>
              <a:p>
                <a:pPr>
                  <a:defRPr b="1"/>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Pivot!$A$9:$A$15</c:f>
              <c:multiLvlStrCache>
                <c:ptCount val="3"/>
                <c:lvl>
                  <c:pt idx="0">
                    <c:v>2023</c:v>
                  </c:pt>
                  <c:pt idx="1">
                    <c:v>2023</c:v>
                  </c:pt>
                  <c:pt idx="2">
                    <c:v>2023</c:v>
                  </c:pt>
                </c:lvl>
                <c:lvl>
                  <c:pt idx="0">
                    <c:v>January</c:v>
                  </c:pt>
                  <c:pt idx="1">
                    <c:v>February</c:v>
                  </c:pt>
                  <c:pt idx="2">
                    <c:v>March</c:v>
                  </c:pt>
                </c:lvl>
              </c:multiLvlStrCache>
            </c:multiLvlStrRef>
          </c:cat>
          <c:val>
            <c:numRef>
              <c:f>Pivot!$C$9:$C$15</c:f>
              <c:numCache>
                <c:formatCode>General</c:formatCode>
                <c:ptCount val="3"/>
                <c:pt idx="0">
                  <c:v>49652.649999999994</c:v>
                </c:pt>
                <c:pt idx="1">
                  <c:v>45773.649999999994</c:v>
                </c:pt>
                <c:pt idx="2">
                  <c:v>56050.350000000006</c:v>
                </c:pt>
              </c:numCache>
            </c:numRef>
          </c:val>
          <c:smooth val="0"/>
          <c:extLst>
            <c:ext xmlns:c16="http://schemas.microsoft.com/office/drawing/2014/chart" uri="{C3380CC4-5D6E-409C-BE32-E72D297353CC}">
              <c16:uniqueId val="{00000001-C050-406F-A6E7-9EB3C597D9D0}"/>
            </c:ext>
          </c:extLst>
        </c:ser>
        <c:dLbls>
          <c:dLblPos val="t"/>
          <c:showLegendKey val="0"/>
          <c:showVal val="1"/>
          <c:showCatName val="0"/>
          <c:showSerName val="0"/>
          <c:showPercent val="0"/>
          <c:showBubbleSize val="0"/>
        </c:dLbls>
        <c:marker val="1"/>
        <c:smooth val="0"/>
        <c:axId val="583922048"/>
        <c:axId val="583921688"/>
      </c:lineChart>
      <c:catAx>
        <c:axId val="583922048"/>
        <c:scaling>
          <c:orientation val="minMax"/>
        </c:scaling>
        <c:delete val="0"/>
        <c:axPos val="b"/>
        <c:numFmt formatCode="General" sourceLinked="1"/>
        <c:majorTickMark val="out"/>
        <c:minorTickMark val="none"/>
        <c:tickLblPos val="nextTo"/>
        <c:txPr>
          <a:bodyPr rot="-5400000" vert="horz"/>
          <a:lstStyle/>
          <a:p>
            <a:pPr>
              <a:defRPr/>
            </a:pPr>
            <a:endParaRPr lang="en-US"/>
          </a:p>
        </c:txPr>
        <c:crossAx val="583921688"/>
        <c:crosses val="autoZero"/>
        <c:auto val="1"/>
        <c:lblAlgn val="ctr"/>
        <c:lblOffset val="100"/>
        <c:noMultiLvlLbl val="0"/>
      </c:catAx>
      <c:valAx>
        <c:axId val="583921688"/>
        <c:scaling>
          <c:orientation val="minMax"/>
        </c:scaling>
        <c:delete val="0"/>
        <c:axPos val="l"/>
        <c:numFmt formatCode="General" sourceLinked="1"/>
        <c:majorTickMark val="out"/>
        <c:minorTickMark val="none"/>
        <c:tickLblPos val="nextTo"/>
        <c:crossAx val="583922048"/>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[Sales_Dataset.xlsx]Pivot!pt_sale_type</c:name>
    <c:fmtId val="0"/>
  </c:pivotSource>
  <c:chart>
    <c:title>
      <c:tx>
        <c:rich>
          <a:bodyPr/>
          <a:lstStyle/>
          <a:p>
            <a:pPr>
              <a:defRPr/>
            </a:pPr>
            <a:r>
              <a:rPr lang="en-IN"/>
              <a:t>New vs Repeat Sales</a:t>
            </a:r>
          </a:p>
        </c:rich>
      </c:tx>
      <c:overlay val="0"/>
    </c:title>
    <c:autoTitleDeleted val="0"/>
    <c:pivotFmts>
      <c:pivotFmt>
        <c:idx val="0"/>
        <c:marker>
          <c:symbol val="none"/>
        </c:marker>
      </c:pivotFmt>
      <c:pivotFmt>
        <c:idx val="1"/>
        <c:marker>
          <c:symbol val="none"/>
        </c:marker>
        <c:dLbl>
          <c:idx val="0"/>
          <c:spPr>
            <a:noFill/>
            <a:ln>
              <a:noFill/>
            </a:ln>
            <a:effectLst/>
          </c:spPr>
          <c:txPr>
            <a:bodyPr wrap="square" lIns="38100" tIns="19050" rIns="38100" bIns="19050" anchor="ctr">
              <a:spAutoFit/>
            </a:bodyPr>
            <a:lstStyle/>
            <a:p>
              <a:pPr>
                <a:defRPr sz="1100" b="1"/>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Pivot!$B$17</c:f>
              <c:strCache>
                <c:ptCount val="1"/>
                <c:pt idx="0">
                  <c:v>Total</c:v>
                </c:pt>
              </c:strCache>
            </c:strRef>
          </c:tx>
          <c:dLbls>
            <c:spPr>
              <a:noFill/>
              <a:ln>
                <a:noFill/>
              </a:ln>
              <a:effectLst/>
            </c:spPr>
            <c:txPr>
              <a:bodyPr wrap="square" lIns="38100" tIns="19050" rIns="38100" bIns="19050" anchor="ctr">
                <a:spAutoFit/>
              </a:bodyPr>
              <a:lstStyle/>
              <a:p>
                <a:pPr>
                  <a:defRPr sz="1100" b="1"/>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Pivot!$A$18:$A$20</c:f>
              <c:strCache>
                <c:ptCount val="2"/>
                <c:pt idx="0">
                  <c:v>New Sale</c:v>
                </c:pt>
                <c:pt idx="1">
                  <c:v>Repeat Sale</c:v>
                </c:pt>
              </c:strCache>
            </c:strRef>
          </c:cat>
          <c:val>
            <c:numRef>
              <c:f>Pivot!$B$18:$B$20</c:f>
              <c:numCache>
                <c:formatCode>General</c:formatCode>
                <c:ptCount val="2"/>
                <c:pt idx="0">
                  <c:v>229522</c:v>
                </c:pt>
                <c:pt idx="1">
                  <c:v>242040</c:v>
                </c:pt>
              </c:numCache>
            </c:numRef>
          </c:val>
          <c:extLst>
            <c:ext xmlns:c16="http://schemas.microsoft.com/office/drawing/2014/chart" uri="{C3380CC4-5D6E-409C-BE32-E72D297353CC}">
              <c16:uniqueId val="{00000000-9EC6-4A3F-A3AB-688FD40E9FB5}"/>
            </c:ext>
          </c:extLst>
        </c:ser>
        <c:dLbls>
          <c:showLegendKey val="0"/>
          <c:showVal val="1"/>
          <c:showCatName val="0"/>
          <c:showSerName val="0"/>
          <c:showPercent val="0"/>
          <c:showBubbleSize val="0"/>
          <c:showLeaderLines val="1"/>
        </c:dLbls>
        <c:firstSliceAng val="0"/>
        <c:holeSize val="50"/>
      </c:doughnutChart>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[Sales_Dataset.xlsx]Pivot!pt_customer_type</c:name>
    <c:fmtId val="0"/>
  </c:pivotSource>
  <c:chart>
    <c:title>
      <c:tx>
        <c:rich>
          <a:bodyPr/>
          <a:lstStyle/>
          <a:p>
            <a:pPr>
              <a:defRPr/>
            </a:pPr>
            <a:r>
              <a:rPr lang="en-IN"/>
              <a:t>Customer Type Performance</a:t>
            </a:r>
          </a:p>
        </c:rich>
      </c:tx>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1"/>
          <c:order val="1"/>
          <c:tx>
            <c:strRef>
              <c:f>Pivot!$C$25:$C$26</c:f>
              <c:strCache>
                <c:ptCount val="1"/>
                <c:pt idx="0">
                  <c:v>Avg Margin %</c:v>
                </c:pt>
              </c:strCache>
            </c:strRef>
          </c:tx>
          <c:invertIfNegative val="0"/>
          <c:cat>
            <c:strRef>
              <c:f>Pivot!$A$27:$A$29</c:f>
              <c:strCache>
                <c:ptCount val="2"/>
                <c:pt idx="0">
                  <c:v>Company</c:v>
                </c:pt>
                <c:pt idx="1">
                  <c:v>Individual</c:v>
                </c:pt>
              </c:strCache>
            </c:strRef>
          </c:cat>
          <c:val>
            <c:numRef>
              <c:f>Pivot!$C$27:$C$29</c:f>
              <c:numCache>
                <c:formatCode>General</c:formatCode>
                <c:ptCount val="2"/>
                <c:pt idx="0">
                  <c:v>0.32363636363636367</c:v>
                </c:pt>
                <c:pt idx="1">
                  <c:v>0.32076923076923081</c:v>
                </c:pt>
              </c:numCache>
            </c:numRef>
          </c:val>
          <c:extLst>
            <c:ext xmlns:c16="http://schemas.microsoft.com/office/drawing/2014/chart" uri="{C3380CC4-5D6E-409C-BE32-E72D297353CC}">
              <c16:uniqueId val="{00000001-9343-42F8-B04F-0FAE384EE1F4}"/>
            </c:ext>
          </c:extLst>
        </c:ser>
        <c:dLbls>
          <c:showLegendKey val="0"/>
          <c:showVal val="0"/>
          <c:showCatName val="0"/>
          <c:showSerName val="0"/>
          <c:showPercent val="0"/>
          <c:showBubbleSize val="0"/>
        </c:dLbls>
        <c:gapWidth val="150"/>
        <c:axId val="583909808"/>
        <c:axId val="583917008"/>
      </c:barChart>
      <c:barChart>
        <c:barDir val="col"/>
        <c:grouping val="clustered"/>
        <c:varyColors val="0"/>
        <c:ser>
          <c:idx val="0"/>
          <c:order val="0"/>
          <c:tx>
            <c:strRef>
              <c:f>Pivot!$B$25:$B$26</c:f>
              <c:strCache>
                <c:ptCount val="1"/>
                <c:pt idx="0">
                  <c:v>Sales</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Pivot!$A$27:$A$29</c:f>
              <c:strCache>
                <c:ptCount val="2"/>
                <c:pt idx="0">
                  <c:v>Company</c:v>
                </c:pt>
                <c:pt idx="1">
                  <c:v>Individual</c:v>
                </c:pt>
              </c:strCache>
            </c:strRef>
          </c:cat>
          <c:val>
            <c:numRef>
              <c:f>Pivot!$B$27:$B$29</c:f>
              <c:numCache>
                <c:formatCode>General</c:formatCode>
                <c:ptCount val="2"/>
                <c:pt idx="0">
                  <c:v>213797</c:v>
                </c:pt>
                <c:pt idx="1">
                  <c:v>257765</c:v>
                </c:pt>
              </c:numCache>
            </c:numRef>
          </c:val>
          <c:extLst>
            <c:ext xmlns:c16="http://schemas.microsoft.com/office/drawing/2014/chart" uri="{C3380CC4-5D6E-409C-BE32-E72D297353CC}">
              <c16:uniqueId val="{00000000-9343-42F8-B04F-0FAE384EE1F4}"/>
            </c:ext>
          </c:extLst>
        </c:ser>
        <c:dLbls>
          <c:showLegendKey val="0"/>
          <c:showVal val="0"/>
          <c:showCatName val="0"/>
          <c:showSerName val="0"/>
          <c:showPercent val="0"/>
          <c:showBubbleSize val="0"/>
        </c:dLbls>
        <c:gapWidth val="270"/>
        <c:axId val="743695296"/>
        <c:axId val="743693136"/>
      </c:barChart>
      <c:catAx>
        <c:axId val="583909808"/>
        <c:scaling>
          <c:orientation val="minMax"/>
        </c:scaling>
        <c:delete val="0"/>
        <c:axPos val="b"/>
        <c:numFmt formatCode="General" sourceLinked="1"/>
        <c:majorTickMark val="out"/>
        <c:minorTickMark val="none"/>
        <c:tickLblPos val="nextTo"/>
        <c:crossAx val="583917008"/>
        <c:crosses val="autoZero"/>
        <c:auto val="1"/>
        <c:lblAlgn val="ctr"/>
        <c:lblOffset val="100"/>
        <c:noMultiLvlLbl val="0"/>
      </c:catAx>
      <c:valAx>
        <c:axId val="583917008"/>
        <c:scaling>
          <c:orientation val="minMax"/>
        </c:scaling>
        <c:delete val="0"/>
        <c:axPos val="l"/>
        <c:numFmt formatCode="General" sourceLinked="1"/>
        <c:majorTickMark val="out"/>
        <c:minorTickMark val="none"/>
        <c:tickLblPos val="nextTo"/>
        <c:crossAx val="583909808"/>
        <c:crosses val="autoZero"/>
        <c:crossBetween val="between"/>
      </c:valAx>
      <c:valAx>
        <c:axId val="743693136"/>
        <c:scaling>
          <c:orientation val="minMax"/>
        </c:scaling>
        <c:delete val="0"/>
        <c:axPos val="r"/>
        <c:numFmt formatCode="General" sourceLinked="1"/>
        <c:majorTickMark val="out"/>
        <c:minorTickMark val="none"/>
        <c:tickLblPos val="nextTo"/>
        <c:crossAx val="743695296"/>
        <c:crosses val="max"/>
        <c:crossBetween val="between"/>
      </c:valAx>
      <c:catAx>
        <c:axId val="743695296"/>
        <c:scaling>
          <c:orientation val="minMax"/>
        </c:scaling>
        <c:delete val="1"/>
        <c:axPos val="b"/>
        <c:numFmt formatCode="General" sourceLinked="1"/>
        <c:majorTickMark val="out"/>
        <c:minorTickMark val="none"/>
        <c:tickLblPos val="nextTo"/>
        <c:crossAx val="743693136"/>
        <c:auto val="1"/>
        <c:lblAlgn val="ctr"/>
        <c:lblOffset val="100"/>
        <c:noMultiLvlLbl val="0"/>
      </c:cat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[Sales_Dataset.xlsx]Pivot!pt_service</c:name>
    <c:fmtId val="0"/>
  </c:pivotSource>
  <c:chart>
    <c:title>
      <c:tx>
        <c:rich>
          <a:bodyPr/>
          <a:lstStyle/>
          <a:p>
            <a:pPr>
              <a:defRPr/>
            </a:pPr>
            <a:r>
              <a:rPr lang="en-IN"/>
              <a:t>Service Sales</a:t>
            </a:r>
          </a:p>
        </c:rich>
      </c:tx>
      <c:layout>
        <c:manualLayout>
          <c:xMode val="edge"/>
          <c:yMode val="edge"/>
          <c:x val="0.63374453628701788"/>
          <c:y val="2.6396312996255882E-2"/>
        </c:manualLayout>
      </c:layout>
      <c:overlay val="0"/>
    </c:title>
    <c:autoTitleDeleted val="0"/>
    <c:pivotFmts>
      <c:pivotFmt>
        <c:idx val="0"/>
        <c:marker>
          <c:symbol val="none"/>
        </c:marker>
        <c:dLbl>
          <c:idx val="0"/>
          <c:spPr>
            <a:noFill/>
            <a:ln>
              <a:noFill/>
            </a:ln>
            <a:effectLst/>
          </c:spPr>
          <c:txPr>
            <a:bodyPr rot="-5400000" vert="horz"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5400000" vert="horz"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Pivot!$B$33:$B$34</c:f>
              <c:strCache>
                <c:ptCount val="1"/>
                <c:pt idx="0">
                  <c:v>Sales</c:v>
                </c:pt>
              </c:strCache>
            </c:strRef>
          </c:tx>
          <c:invertIfNegative val="0"/>
          <c:dLbls>
            <c:spPr>
              <a:noFill/>
              <a:ln>
                <a:noFill/>
              </a:ln>
              <a:effectLst/>
            </c:spPr>
            <c:txPr>
              <a:bodyPr rot="-5400000" vert="horz"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Pivot!$A$35:$A$40</c:f>
              <c:strCache>
                <c:ptCount val="5"/>
                <c:pt idx="0">
                  <c:v>Ads</c:v>
                </c:pt>
                <c:pt idx="1">
                  <c:v>App Dev</c:v>
                </c:pt>
                <c:pt idx="2">
                  <c:v>SEO</c:v>
                </c:pt>
                <c:pt idx="3">
                  <c:v>Social Media</c:v>
                </c:pt>
                <c:pt idx="4">
                  <c:v>Web Dev</c:v>
                </c:pt>
              </c:strCache>
            </c:strRef>
          </c:cat>
          <c:val>
            <c:numRef>
              <c:f>Pivot!$B$35:$B$40</c:f>
              <c:numCache>
                <c:formatCode>General</c:formatCode>
                <c:ptCount val="5"/>
                <c:pt idx="0">
                  <c:v>110503</c:v>
                </c:pt>
                <c:pt idx="1">
                  <c:v>64170</c:v>
                </c:pt>
                <c:pt idx="2">
                  <c:v>111561</c:v>
                </c:pt>
                <c:pt idx="3">
                  <c:v>93245</c:v>
                </c:pt>
                <c:pt idx="4">
                  <c:v>92083</c:v>
                </c:pt>
              </c:numCache>
            </c:numRef>
          </c:val>
          <c:extLst>
            <c:ext xmlns:c16="http://schemas.microsoft.com/office/drawing/2014/chart" uri="{C3380CC4-5D6E-409C-BE32-E72D297353CC}">
              <c16:uniqueId val="{00000000-C930-457B-A9D9-9EA4C20A64F7}"/>
            </c:ext>
          </c:extLst>
        </c:ser>
        <c:ser>
          <c:idx val="1"/>
          <c:order val="1"/>
          <c:tx>
            <c:strRef>
              <c:f>Pivot!$C$33:$C$34</c:f>
              <c:strCache>
                <c:ptCount val="1"/>
                <c:pt idx="0">
                  <c:v>Margin</c:v>
                </c:pt>
              </c:strCache>
            </c:strRef>
          </c:tx>
          <c:invertIfNegative val="0"/>
          <c:dLbls>
            <c:spPr>
              <a:noFill/>
              <a:ln>
                <a:noFill/>
              </a:ln>
              <a:effectLst/>
            </c:spPr>
            <c:txPr>
              <a:bodyPr rot="-5400000" vert="horz"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Pivot!$A$35:$A$40</c:f>
              <c:strCache>
                <c:ptCount val="5"/>
                <c:pt idx="0">
                  <c:v>Ads</c:v>
                </c:pt>
                <c:pt idx="1">
                  <c:v>App Dev</c:v>
                </c:pt>
                <c:pt idx="2">
                  <c:v>SEO</c:v>
                </c:pt>
                <c:pt idx="3">
                  <c:v>Social Media</c:v>
                </c:pt>
                <c:pt idx="4">
                  <c:v>Web Dev</c:v>
                </c:pt>
              </c:strCache>
            </c:strRef>
          </c:cat>
          <c:val>
            <c:numRef>
              <c:f>Pivot!$C$35:$C$40</c:f>
              <c:numCache>
                <c:formatCode>General</c:formatCode>
                <c:ptCount val="5"/>
                <c:pt idx="0">
                  <c:v>36162.499999999993</c:v>
                </c:pt>
                <c:pt idx="1">
                  <c:v>20464.550000000003</c:v>
                </c:pt>
                <c:pt idx="2">
                  <c:v>35491.000000000007</c:v>
                </c:pt>
                <c:pt idx="3">
                  <c:v>28010.75</c:v>
                </c:pt>
                <c:pt idx="4">
                  <c:v>31347.85</c:v>
                </c:pt>
              </c:numCache>
            </c:numRef>
          </c:val>
          <c:extLst>
            <c:ext xmlns:c16="http://schemas.microsoft.com/office/drawing/2014/chart" uri="{C3380CC4-5D6E-409C-BE32-E72D297353CC}">
              <c16:uniqueId val="{00000001-C930-457B-A9D9-9EA4C20A64F7}"/>
            </c:ext>
          </c:extLst>
        </c:ser>
        <c:dLbls>
          <c:dLblPos val="inEnd"/>
          <c:showLegendKey val="0"/>
          <c:showVal val="1"/>
          <c:showCatName val="0"/>
          <c:showSerName val="0"/>
          <c:showPercent val="0"/>
          <c:showBubbleSize val="0"/>
        </c:dLbls>
        <c:gapWidth val="150"/>
        <c:axId val="583918448"/>
        <c:axId val="583918088"/>
      </c:barChart>
      <c:catAx>
        <c:axId val="583918448"/>
        <c:scaling>
          <c:orientation val="minMax"/>
        </c:scaling>
        <c:delete val="0"/>
        <c:axPos val="b"/>
        <c:numFmt formatCode="General" sourceLinked="1"/>
        <c:majorTickMark val="out"/>
        <c:minorTickMark val="none"/>
        <c:tickLblPos val="nextTo"/>
        <c:crossAx val="583918088"/>
        <c:crosses val="autoZero"/>
        <c:auto val="1"/>
        <c:lblAlgn val="ctr"/>
        <c:lblOffset val="100"/>
        <c:noMultiLvlLbl val="0"/>
      </c:catAx>
      <c:valAx>
        <c:axId val="583918088"/>
        <c:scaling>
          <c:orientation val="minMax"/>
        </c:scaling>
        <c:delete val="0"/>
        <c:axPos val="l"/>
        <c:numFmt formatCode="General" sourceLinked="1"/>
        <c:majorTickMark val="out"/>
        <c:minorTickMark val="none"/>
        <c:tickLblPos val="nextTo"/>
        <c:crossAx val="583918448"/>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[Sales_Dataset.xlsx]Pivot!pt_department</c:name>
    <c:fmtId val="0"/>
  </c:pivotSource>
  <c:chart>
    <c:title>
      <c:tx>
        <c:rich>
          <a:bodyPr/>
          <a:lstStyle/>
          <a:p>
            <a:pPr>
              <a:defRPr/>
            </a:pPr>
            <a:r>
              <a:rPr lang="en-IN"/>
              <a:t>Department Efficiency</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Pivot!$B$41:$B$42</c:f>
              <c:strCache>
                <c:ptCount val="1"/>
                <c:pt idx="0">
                  <c:v>Sales</c:v>
                </c:pt>
              </c:strCache>
            </c:strRef>
          </c:tx>
          <c:invertIfNegative val="0"/>
          <c:cat>
            <c:strRef>
              <c:f>Pivot!$A$43:$A$46</c:f>
              <c:strCache>
                <c:ptCount val="3"/>
                <c:pt idx="0">
                  <c:v>Copywriting</c:v>
                </c:pt>
                <c:pt idx="1">
                  <c:v>Design</c:v>
                </c:pt>
                <c:pt idx="2">
                  <c:v>Marketing</c:v>
                </c:pt>
              </c:strCache>
            </c:strRef>
          </c:cat>
          <c:val>
            <c:numRef>
              <c:f>Pivot!$B$43:$B$46</c:f>
              <c:numCache>
                <c:formatCode>General</c:formatCode>
                <c:ptCount val="3"/>
                <c:pt idx="0">
                  <c:v>111561</c:v>
                </c:pt>
                <c:pt idx="1">
                  <c:v>156253</c:v>
                </c:pt>
                <c:pt idx="2">
                  <c:v>203748</c:v>
                </c:pt>
              </c:numCache>
            </c:numRef>
          </c:val>
          <c:extLst>
            <c:ext xmlns:c16="http://schemas.microsoft.com/office/drawing/2014/chart" uri="{C3380CC4-5D6E-409C-BE32-E72D297353CC}">
              <c16:uniqueId val="{00000000-EA7D-47AC-81E4-74942A2896DE}"/>
            </c:ext>
          </c:extLst>
        </c:ser>
        <c:ser>
          <c:idx val="1"/>
          <c:order val="1"/>
          <c:tx>
            <c:strRef>
              <c:f>Pivot!$C$41:$C$42</c:f>
              <c:strCache>
                <c:ptCount val="1"/>
                <c:pt idx="0">
                  <c:v>Avg Margin %</c:v>
                </c:pt>
              </c:strCache>
            </c:strRef>
          </c:tx>
          <c:invertIfNegative val="0"/>
          <c:cat>
            <c:strRef>
              <c:f>Pivot!$A$43:$A$46</c:f>
              <c:strCache>
                <c:ptCount val="3"/>
                <c:pt idx="0">
                  <c:v>Copywriting</c:v>
                </c:pt>
                <c:pt idx="1">
                  <c:v>Design</c:v>
                </c:pt>
                <c:pt idx="2">
                  <c:v>Marketing</c:v>
                </c:pt>
              </c:strCache>
            </c:strRef>
          </c:cat>
          <c:val>
            <c:numRef>
              <c:f>Pivot!$C$43:$C$46</c:f>
              <c:numCache>
                <c:formatCode>General</c:formatCode>
                <c:ptCount val="3"/>
                <c:pt idx="0">
                  <c:v>0.32068965517241377</c:v>
                </c:pt>
                <c:pt idx="1">
                  <c:v>0.33170731707317075</c:v>
                </c:pt>
                <c:pt idx="2">
                  <c:v>0.31500000000000006</c:v>
                </c:pt>
              </c:numCache>
            </c:numRef>
          </c:val>
          <c:extLst>
            <c:ext xmlns:c16="http://schemas.microsoft.com/office/drawing/2014/chart" uri="{C3380CC4-5D6E-409C-BE32-E72D297353CC}">
              <c16:uniqueId val="{00000001-EA7D-47AC-81E4-74942A2896DE}"/>
            </c:ext>
          </c:extLst>
        </c:ser>
        <c:dLbls>
          <c:showLegendKey val="0"/>
          <c:showVal val="0"/>
          <c:showCatName val="0"/>
          <c:showSerName val="0"/>
          <c:showPercent val="0"/>
          <c:showBubbleSize val="0"/>
        </c:dLbls>
        <c:gapWidth val="150"/>
        <c:axId val="583919168"/>
        <c:axId val="583909088"/>
      </c:barChart>
      <c:catAx>
        <c:axId val="583919168"/>
        <c:scaling>
          <c:orientation val="minMax"/>
        </c:scaling>
        <c:delete val="0"/>
        <c:axPos val="b"/>
        <c:numFmt formatCode="General" sourceLinked="1"/>
        <c:majorTickMark val="out"/>
        <c:minorTickMark val="none"/>
        <c:tickLblPos val="nextTo"/>
        <c:crossAx val="583909088"/>
        <c:crosses val="autoZero"/>
        <c:auto val="1"/>
        <c:lblAlgn val="ctr"/>
        <c:lblOffset val="100"/>
        <c:noMultiLvlLbl val="0"/>
      </c:catAx>
      <c:valAx>
        <c:axId val="583909088"/>
        <c:scaling>
          <c:orientation val="minMax"/>
        </c:scaling>
        <c:delete val="0"/>
        <c:axPos val="l"/>
        <c:numFmt formatCode="General" sourceLinked="1"/>
        <c:majorTickMark val="out"/>
        <c:minorTickMark val="none"/>
        <c:tickLblPos val="nextTo"/>
        <c:crossAx val="583919168"/>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[Sales_Dataset.xlsx]Pivot!pt_city</c:name>
    <c:fmtId val="0"/>
  </c:pivotSource>
  <c:chart>
    <c:title>
      <c:tx>
        <c:rich>
          <a:bodyPr/>
          <a:lstStyle/>
          <a:p>
            <a:pPr>
              <a:defRPr/>
            </a:pPr>
            <a:r>
              <a:rPr lang="en-IN"/>
              <a:t>City-wise Sales</a:t>
            </a:r>
          </a:p>
        </c:rich>
      </c:tx>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Pivot!$B$49:$B$50</c:f>
              <c:strCache>
                <c:ptCount val="1"/>
                <c:pt idx="0">
                  <c:v>Sales</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Pivot!$A$51:$A$56</c:f>
              <c:strCache>
                <c:ptCount val="5"/>
                <c:pt idx="0">
                  <c:v>Abu Dhabi</c:v>
                </c:pt>
                <c:pt idx="1">
                  <c:v>Ajman</c:v>
                </c:pt>
                <c:pt idx="2">
                  <c:v>Al Ain</c:v>
                </c:pt>
                <c:pt idx="3">
                  <c:v>Dubai</c:v>
                </c:pt>
                <c:pt idx="4">
                  <c:v>Sharjah</c:v>
                </c:pt>
              </c:strCache>
            </c:strRef>
          </c:cat>
          <c:val>
            <c:numRef>
              <c:f>Pivot!$B$51:$B$56</c:f>
              <c:numCache>
                <c:formatCode>General</c:formatCode>
                <c:ptCount val="5"/>
                <c:pt idx="0">
                  <c:v>105860</c:v>
                </c:pt>
                <c:pt idx="1">
                  <c:v>99132</c:v>
                </c:pt>
                <c:pt idx="2">
                  <c:v>72035</c:v>
                </c:pt>
                <c:pt idx="3">
                  <c:v>89102</c:v>
                </c:pt>
                <c:pt idx="4">
                  <c:v>105433</c:v>
                </c:pt>
              </c:numCache>
            </c:numRef>
          </c:val>
          <c:extLst>
            <c:ext xmlns:c16="http://schemas.microsoft.com/office/drawing/2014/chart" uri="{C3380CC4-5D6E-409C-BE32-E72D297353CC}">
              <c16:uniqueId val="{00000000-D2B7-4A7E-B2F1-74E42C5ACB90}"/>
            </c:ext>
          </c:extLst>
        </c:ser>
        <c:ser>
          <c:idx val="1"/>
          <c:order val="1"/>
          <c:tx>
            <c:strRef>
              <c:f>Pivot!$C$49:$C$50</c:f>
              <c:strCache>
                <c:ptCount val="1"/>
                <c:pt idx="0">
                  <c:v>Orders</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Pivot!$A$51:$A$56</c:f>
              <c:strCache>
                <c:ptCount val="5"/>
                <c:pt idx="0">
                  <c:v>Abu Dhabi</c:v>
                </c:pt>
                <c:pt idx="1">
                  <c:v>Ajman</c:v>
                </c:pt>
                <c:pt idx="2">
                  <c:v>Al Ain</c:v>
                </c:pt>
                <c:pt idx="3">
                  <c:v>Dubai</c:v>
                </c:pt>
                <c:pt idx="4">
                  <c:v>Sharjah</c:v>
                </c:pt>
              </c:strCache>
            </c:strRef>
          </c:cat>
          <c:val>
            <c:numRef>
              <c:f>Pivot!$C$51:$C$56</c:f>
              <c:numCache>
                <c:formatCode>General</c:formatCode>
                <c:ptCount val="5"/>
                <c:pt idx="0">
                  <c:v>25</c:v>
                </c:pt>
                <c:pt idx="1">
                  <c:v>27</c:v>
                </c:pt>
                <c:pt idx="2">
                  <c:v>17</c:v>
                </c:pt>
                <c:pt idx="3">
                  <c:v>25</c:v>
                </c:pt>
                <c:pt idx="4">
                  <c:v>26</c:v>
                </c:pt>
              </c:numCache>
            </c:numRef>
          </c:val>
          <c:extLst>
            <c:ext xmlns:c16="http://schemas.microsoft.com/office/drawing/2014/chart" uri="{C3380CC4-5D6E-409C-BE32-E72D297353CC}">
              <c16:uniqueId val="{00000001-D2B7-4A7E-B2F1-74E42C5ACB90}"/>
            </c:ext>
          </c:extLst>
        </c:ser>
        <c:dLbls>
          <c:showLegendKey val="0"/>
          <c:showVal val="0"/>
          <c:showCatName val="0"/>
          <c:showSerName val="0"/>
          <c:showPercent val="0"/>
          <c:showBubbleSize val="0"/>
        </c:dLbls>
        <c:gapWidth val="200"/>
        <c:axId val="583912688"/>
        <c:axId val="580542744"/>
      </c:barChart>
      <c:catAx>
        <c:axId val="583912688"/>
        <c:scaling>
          <c:orientation val="minMax"/>
        </c:scaling>
        <c:delete val="0"/>
        <c:axPos val="b"/>
        <c:numFmt formatCode="General" sourceLinked="1"/>
        <c:majorTickMark val="out"/>
        <c:minorTickMark val="none"/>
        <c:tickLblPos val="nextTo"/>
        <c:crossAx val="580542744"/>
        <c:crosses val="autoZero"/>
        <c:auto val="1"/>
        <c:lblAlgn val="ctr"/>
        <c:lblOffset val="100"/>
        <c:noMultiLvlLbl val="0"/>
      </c:catAx>
      <c:valAx>
        <c:axId val="580542744"/>
        <c:scaling>
          <c:orientation val="minMax"/>
        </c:scaling>
        <c:delete val="0"/>
        <c:axPos val="l"/>
        <c:numFmt formatCode="General" sourceLinked="1"/>
        <c:majorTickMark val="out"/>
        <c:minorTickMark val="none"/>
        <c:tickLblPos val="nextTo"/>
        <c:crossAx val="583912688"/>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[Sales_Dataset.xlsx]Pivot!pt_source</c:name>
    <c:fmtId val="0"/>
  </c:pivotSource>
  <c:chart>
    <c:title>
      <c:tx>
        <c:rich>
          <a:bodyPr/>
          <a:lstStyle/>
          <a:p>
            <a:pPr>
              <a:defRPr/>
            </a:pPr>
            <a:r>
              <a:rPr lang="en-IN"/>
              <a:t>Customer Source Performance</a:t>
            </a:r>
          </a:p>
        </c:rich>
      </c:tx>
      <c:layout>
        <c:manualLayout>
          <c:xMode val="edge"/>
          <c:yMode val="edge"/>
          <c:x val="0.14115035600494696"/>
          <c:y val="1.7530178883956686E-2"/>
        </c:manualLayout>
      </c:layout>
      <c:overlay val="0"/>
    </c:title>
    <c:autoTitleDeleted val="0"/>
    <c:pivotFmts>
      <c:pivotFmt>
        <c:idx val="0"/>
        <c:marker>
          <c:symbol val="none"/>
        </c:marker>
        <c:dLbl>
          <c:idx val="0"/>
          <c:spPr>
            <a:noFill/>
            <a:ln>
              <a:noFill/>
            </a:ln>
            <a:effectLst/>
          </c:spPr>
          <c:txPr>
            <a:bodyPr rot="-5400000" vert="horz"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5400000" vert="horz"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rot="-5400000" vert="horz"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14050941779047"/>
          <c:y val="0.26311110837289925"/>
          <c:w val="0.57879550948000558"/>
          <c:h val="0.62482248686061714"/>
        </c:manualLayout>
      </c:layout>
      <c:barChart>
        <c:barDir val="col"/>
        <c:grouping val="clustered"/>
        <c:varyColors val="0"/>
        <c:ser>
          <c:idx val="0"/>
          <c:order val="0"/>
          <c:tx>
            <c:strRef>
              <c:f>Pivot!$B$57:$B$58</c:f>
              <c:strCache>
                <c:ptCount val="1"/>
                <c:pt idx="0">
                  <c:v>Orders</c:v>
                </c:pt>
              </c:strCache>
            </c:strRef>
          </c:tx>
          <c:invertIfNegative val="0"/>
          <c:dLbls>
            <c:spPr>
              <a:noFill/>
              <a:ln>
                <a:noFill/>
              </a:ln>
              <a:effectLst/>
            </c:spPr>
            <c:txPr>
              <a:bodyPr rot="-5400000" vert="horz"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Pivot!$A$59:$A$62</c:f>
              <c:strCache>
                <c:ptCount val="3"/>
                <c:pt idx="0">
                  <c:v>Ads</c:v>
                </c:pt>
                <c:pt idx="1">
                  <c:v>Organic</c:v>
                </c:pt>
                <c:pt idx="2">
                  <c:v>Walk in</c:v>
                </c:pt>
              </c:strCache>
            </c:strRef>
          </c:cat>
          <c:val>
            <c:numRef>
              <c:f>Pivot!$B$59:$B$62</c:f>
              <c:numCache>
                <c:formatCode>General</c:formatCode>
                <c:ptCount val="3"/>
                <c:pt idx="0">
                  <c:v>44</c:v>
                </c:pt>
                <c:pt idx="1">
                  <c:v>44</c:v>
                </c:pt>
                <c:pt idx="2">
                  <c:v>32</c:v>
                </c:pt>
              </c:numCache>
            </c:numRef>
          </c:val>
          <c:extLst>
            <c:ext xmlns:c16="http://schemas.microsoft.com/office/drawing/2014/chart" uri="{C3380CC4-5D6E-409C-BE32-E72D297353CC}">
              <c16:uniqueId val="{00000000-2C89-4A60-910B-F9FAF4D5194C}"/>
            </c:ext>
          </c:extLst>
        </c:ser>
        <c:ser>
          <c:idx val="1"/>
          <c:order val="1"/>
          <c:tx>
            <c:strRef>
              <c:f>Pivot!$C$57:$C$58</c:f>
              <c:strCache>
                <c:ptCount val="1"/>
                <c:pt idx="0">
                  <c:v>Sales</c:v>
                </c:pt>
              </c:strCache>
            </c:strRef>
          </c:tx>
          <c:invertIfNegative val="0"/>
          <c:dLbls>
            <c:spPr>
              <a:noFill/>
              <a:ln>
                <a:noFill/>
              </a:ln>
              <a:effectLst/>
            </c:spPr>
            <c:txPr>
              <a:bodyPr rot="-5400000" vert="horz"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Pivot!$A$59:$A$62</c:f>
              <c:strCache>
                <c:ptCount val="3"/>
                <c:pt idx="0">
                  <c:v>Ads</c:v>
                </c:pt>
                <c:pt idx="1">
                  <c:v>Organic</c:v>
                </c:pt>
                <c:pt idx="2">
                  <c:v>Walk in</c:v>
                </c:pt>
              </c:strCache>
            </c:strRef>
          </c:cat>
          <c:val>
            <c:numRef>
              <c:f>Pivot!$C$59:$C$62</c:f>
              <c:numCache>
                <c:formatCode>General</c:formatCode>
                <c:ptCount val="3"/>
                <c:pt idx="0">
                  <c:v>169547</c:v>
                </c:pt>
                <c:pt idx="1">
                  <c:v>170404</c:v>
                </c:pt>
                <c:pt idx="2">
                  <c:v>131611</c:v>
                </c:pt>
              </c:numCache>
            </c:numRef>
          </c:val>
          <c:extLst>
            <c:ext xmlns:c16="http://schemas.microsoft.com/office/drawing/2014/chart" uri="{C3380CC4-5D6E-409C-BE32-E72D297353CC}">
              <c16:uniqueId val="{00000001-2C89-4A60-910B-F9FAF4D5194C}"/>
            </c:ext>
          </c:extLst>
        </c:ser>
        <c:ser>
          <c:idx val="2"/>
          <c:order val="2"/>
          <c:tx>
            <c:strRef>
              <c:f>Pivot!$D$57:$D$58</c:f>
              <c:strCache>
                <c:ptCount val="1"/>
                <c:pt idx="0">
                  <c:v>Avg Margin %</c:v>
                </c:pt>
              </c:strCache>
            </c:strRef>
          </c:tx>
          <c:invertIfNegative val="0"/>
          <c:dLbls>
            <c:spPr>
              <a:noFill/>
              <a:ln>
                <a:noFill/>
              </a:ln>
              <a:effectLst/>
            </c:spPr>
            <c:txPr>
              <a:bodyPr rot="-5400000" vert="horz"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Pivot!$A$59:$A$62</c:f>
              <c:strCache>
                <c:ptCount val="3"/>
                <c:pt idx="0">
                  <c:v>Ads</c:v>
                </c:pt>
                <c:pt idx="1">
                  <c:v>Organic</c:v>
                </c:pt>
                <c:pt idx="2">
                  <c:v>Walk in</c:v>
                </c:pt>
              </c:strCache>
            </c:strRef>
          </c:cat>
          <c:val>
            <c:numRef>
              <c:f>Pivot!$D$59:$D$62</c:f>
              <c:numCache>
                <c:formatCode>General</c:formatCode>
                <c:ptCount val="3"/>
                <c:pt idx="0">
                  <c:v>0.31250000000000006</c:v>
                </c:pt>
                <c:pt idx="1">
                  <c:v>0.33068181818181824</c:v>
                </c:pt>
                <c:pt idx="2">
                  <c:v>0.32343749999999999</c:v>
                </c:pt>
              </c:numCache>
            </c:numRef>
          </c:val>
          <c:extLst>
            <c:ext xmlns:c16="http://schemas.microsoft.com/office/drawing/2014/chart" uri="{C3380CC4-5D6E-409C-BE32-E72D297353CC}">
              <c16:uniqueId val="{00000002-2C89-4A60-910B-F9FAF4D5194C}"/>
            </c:ext>
          </c:extLst>
        </c:ser>
        <c:dLbls>
          <c:dLblPos val="outEnd"/>
          <c:showLegendKey val="0"/>
          <c:showVal val="1"/>
          <c:showCatName val="0"/>
          <c:showSerName val="0"/>
          <c:showPercent val="0"/>
          <c:showBubbleSize val="0"/>
        </c:dLbls>
        <c:gapWidth val="260"/>
        <c:axId val="580540584"/>
        <c:axId val="580543104"/>
      </c:barChart>
      <c:catAx>
        <c:axId val="580540584"/>
        <c:scaling>
          <c:orientation val="minMax"/>
        </c:scaling>
        <c:delete val="0"/>
        <c:axPos val="b"/>
        <c:numFmt formatCode="General" sourceLinked="1"/>
        <c:majorTickMark val="out"/>
        <c:minorTickMark val="none"/>
        <c:tickLblPos val="nextTo"/>
        <c:crossAx val="580543104"/>
        <c:crosses val="autoZero"/>
        <c:auto val="1"/>
        <c:lblAlgn val="ctr"/>
        <c:lblOffset val="100"/>
        <c:noMultiLvlLbl val="0"/>
      </c:catAx>
      <c:valAx>
        <c:axId val="580543104"/>
        <c:scaling>
          <c:orientation val="minMax"/>
        </c:scaling>
        <c:delete val="0"/>
        <c:axPos val="l"/>
        <c:numFmt formatCode="General" sourceLinked="1"/>
        <c:majorTickMark val="out"/>
        <c:minorTickMark val="none"/>
        <c:tickLblPos val="nextTo"/>
        <c:crossAx val="580540584"/>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[Sales_Dataset.xlsx]Pivot!pt_package</c:name>
    <c:fmtId val="2"/>
  </c:pivotSource>
  <c:chart>
    <c:title>
      <c:tx>
        <c:rich>
          <a:bodyPr/>
          <a:lstStyle/>
          <a:p>
            <a:pPr>
              <a:defRPr/>
            </a:pPr>
            <a:r>
              <a:rPr lang="en-IN"/>
              <a:t>Package Type Analysis</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spPr>
            <a:noFill/>
            <a:ln>
              <a:noFill/>
            </a:ln>
            <a:effectLst/>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0.33794663060191532"/>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3.1378874209999205E-3"/>
              <c:y val="-0.30757111985487162"/>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0.33727237277459055"/>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9.4136622629999046E-3"/>
              <c:y val="-0.22950284462030507"/>
            </c:manualLayout>
          </c:layout>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Pivot!$B$65:$B$66</c:f>
              <c:strCache>
                <c:ptCount val="1"/>
                <c:pt idx="0">
                  <c:v>Sales</c:v>
                </c:pt>
              </c:strCache>
            </c:strRef>
          </c:tx>
          <c:invertIfNegative val="0"/>
          <c:dLbls>
            <c:dLbl>
              <c:idx val="0"/>
              <c:layout>
                <c:manualLayout>
                  <c:x val="9.4136622629999046E-3"/>
                  <c:y val="-0.229502844620305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2BC-4B36-8B74-2334457B1803}"/>
                </c:ext>
              </c:extLst>
            </c:dLbl>
            <c:dLbl>
              <c:idx val="1"/>
              <c:layout>
                <c:manualLayout>
                  <c:x val="0"/>
                  <c:y val="-0.337946630601915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2BC-4B36-8B74-2334457B1803}"/>
                </c:ext>
              </c:extLst>
            </c:dLbl>
            <c:dLbl>
              <c:idx val="2"/>
              <c:layout>
                <c:manualLayout>
                  <c:x val="3.1378874209999205E-3"/>
                  <c:y val="-0.307571119854871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BC-4B36-8B74-2334457B1803}"/>
                </c:ext>
              </c:extLst>
            </c:dLbl>
            <c:dLbl>
              <c:idx val="3"/>
              <c:layout>
                <c:manualLayout>
                  <c:x val="0"/>
                  <c:y val="-0.3372723727745905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2BC-4B36-8B74-2334457B1803}"/>
                </c:ext>
              </c:extLst>
            </c:dLbl>
            <c:spPr>
              <a:noFill/>
              <a:ln>
                <a:noFill/>
              </a:ln>
              <a:effectLst/>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Pivot!$A$67:$A$71</c:f>
              <c:strCache>
                <c:ptCount val="4"/>
                <c:pt idx="0">
                  <c:v>Annual</c:v>
                </c:pt>
                <c:pt idx="1">
                  <c:v>Bi Annual</c:v>
                </c:pt>
                <c:pt idx="2">
                  <c:v>Monthly</c:v>
                </c:pt>
                <c:pt idx="3">
                  <c:v>Quarterly</c:v>
                </c:pt>
              </c:strCache>
            </c:strRef>
          </c:cat>
          <c:val>
            <c:numRef>
              <c:f>Pivot!$B$67:$B$71</c:f>
              <c:numCache>
                <c:formatCode>General</c:formatCode>
                <c:ptCount val="4"/>
                <c:pt idx="0">
                  <c:v>81476</c:v>
                </c:pt>
                <c:pt idx="1">
                  <c:v>132177</c:v>
                </c:pt>
                <c:pt idx="2">
                  <c:v>126032</c:v>
                </c:pt>
                <c:pt idx="3">
                  <c:v>131877</c:v>
                </c:pt>
              </c:numCache>
            </c:numRef>
          </c:val>
          <c:extLst>
            <c:ext xmlns:c16="http://schemas.microsoft.com/office/drawing/2014/chart" uri="{C3380CC4-5D6E-409C-BE32-E72D297353CC}">
              <c16:uniqueId val="{00000000-D2BC-4B36-8B74-2334457B1803}"/>
            </c:ext>
          </c:extLst>
        </c:ser>
        <c:dLbls>
          <c:dLblPos val="ctr"/>
          <c:showLegendKey val="0"/>
          <c:showVal val="1"/>
          <c:showCatName val="0"/>
          <c:showSerName val="0"/>
          <c:showPercent val="0"/>
          <c:showBubbleSize val="0"/>
        </c:dLbls>
        <c:gapWidth val="150"/>
        <c:overlap val="100"/>
        <c:axId val="580538784"/>
        <c:axId val="580539144"/>
      </c:barChart>
      <c:barChart>
        <c:barDir val="col"/>
        <c:grouping val="stacked"/>
        <c:varyColors val="0"/>
        <c:ser>
          <c:idx val="1"/>
          <c:order val="1"/>
          <c:tx>
            <c:strRef>
              <c:f>Pivot!$C$65:$C$66</c:f>
              <c:strCache>
                <c:ptCount val="1"/>
                <c:pt idx="0">
                  <c:v>Orders</c:v>
                </c:pt>
              </c:strCache>
            </c:strRef>
          </c:tx>
          <c:invertIfNegative val="0"/>
          <c:dLbls>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Pivot!$A$67:$A$71</c:f>
              <c:strCache>
                <c:ptCount val="4"/>
                <c:pt idx="0">
                  <c:v>Annual</c:v>
                </c:pt>
                <c:pt idx="1">
                  <c:v>Bi Annual</c:v>
                </c:pt>
                <c:pt idx="2">
                  <c:v>Monthly</c:v>
                </c:pt>
                <c:pt idx="3">
                  <c:v>Quarterly</c:v>
                </c:pt>
              </c:strCache>
            </c:strRef>
          </c:cat>
          <c:val>
            <c:numRef>
              <c:f>Pivot!$C$67:$C$71</c:f>
              <c:numCache>
                <c:formatCode>General</c:formatCode>
                <c:ptCount val="4"/>
                <c:pt idx="0">
                  <c:v>21</c:v>
                </c:pt>
                <c:pt idx="1">
                  <c:v>35</c:v>
                </c:pt>
                <c:pt idx="2">
                  <c:v>31</c:v>
                </c:pt>
                <c:pt idx="3">
                  <c:v>33</c:v>
                </c:pt>
              </c:numCache>
            </c:numRef>
          </c:val>
          <c:extLst>
            <c:ext xmlns:c16="http://schemas.microsoft.com/office/drawing/2014/chart" uri="{C3380CC4-5D6E-409C-BE32-E72D297353CC}">
              <c16:uniqueId val="{00000001-D2BC-4B36-8B74-2334457B1803}"/>
            </c:ext>
          </c:extLst>
        </c:ser>
        <c:dLbls>
          <c:showLegendKey val="0"/>
          <c:showVal val="0"/>
          <c:showCatName val="0"/>
          <c:showSerName val="0"/>
          <c:showPercent val="0"/>
          <c:showBubbleSize val="0"/>
        </c:dLbls>
        <c:gapWidth val="150"/>
        <c:overlap val="100"/>
        <c:axId val="817212696"/>
        <c:axId val="817216656"/>
      </c:barChart>
      <c:catAx>
        <c:axId val="580538784"/>
        <c:scaling>
          <c:orientation val="minMax"/>
        </c:scaling>
        <c:delete val="0"/>
        <c:axPos val="b"/>
        <c:numFmt formatCode="General" sourceLinked="1"/>
        <c:majorTickMark val="out"/>
        <c:minorTickMark val="none"/>
        <c:tickLblPos val="nextTo"/>
        <c:crossAx val="580539144"/>
        <c:crosses val="autoZero"/>
        <c:auto val="1"/>
        <c:lblAlgn val="ctr"/>
        <c:lblOffset val="100"/>
        <c:noMultiLvlLbl val="0"/>
      </c:catAx>
      <c:valAx>
        <c:axId val="580539144"/>
        <c:scaling>
          <c:orientation val="minMax"/>
        </c:scaling>
        <c:delete val="0"/>
        <c:axPos val="l"/>
        <c:numFmt formatCode="General" sourceLinked="1"/>
        <c:majorTickMark val="out"/>
        <c:minorTickMark val="none"/>
        <c:tickLblPos val="nextTo"/>
        <c:crossAx val="580538784"/>
        <c:crosses val="autoZero"/>
        <c:crossBetween val="between"/>
      </c:valAx>
      <c:valAx>
        <c:axId val="817216656"/>
        <c:scaling>
          <c:orientation val="minMax"/>
        </c:scaling>
        <c:delete val="0"/>
        <c:axPos val="r"/>
        <c:numFmt formatCode="General" sourceLinked="1"/>
        <c:majorTickMark val="out"/>
        <c:minorTickMark val="none"/>
        <c:tickLblPos val="nextTo"/>
        <c:crossAx val="817212696"/>
        <c:crosses val="max"/>
        <c:crossBetween val="between"/>
      </c:valAx>
      <c:catAx>
        <c:axId val="817212696"/>
        <c:scaling>
          <c:orientation val="minMax"/>
        </c:scaling>
        <c:delete val="1"/>
        <c:axPos val="b"/>
        <c:numFmt formatCode="General" sourceLinked="1"/>
        <c:majorTickMark val="out"/>
        <c:minorTickMark val="none"/>
        <c:tickLblPos val="nextTo"/>
        <c:crossAx val="817216656"/>
        <c:auto val="1"/>
        <c:lblAlgn val="ctr"/>
        <c:lblOffset val="100"/>
        <c:noMultiLvlLbl val="0"/>
      </c:cat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[Sales_Dataset.xlsx]Pivot!pt_top10</c:name>
    <c:fmtId val="2"/>
  </c:pivotSource>
  <c:chart>
    <c:title>
      <c:tx>
        <c:rich>
          <a:bodyPr/>
          <a:lstStyle/>
          <a:p>
            <a:pPr>
              <a:defRPr/>
            </a:pPr>
            <a:r>
              <a:rPr lang="en-IN"/>
              <a:t>Top 10 Customers by Sales</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Pivot!$B$73</c:f>
              <c:strCache>
                <c:ptCount val="1"/>
                <c:pt idx="0">
                  <c:v>Total</c:v>
                </c:pt>
              </c:strCache>
            </c:strRef>
          </c:tx>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Pivot!$A$74:$A$104</c:f>
              <c:multiLvlStrCache>
                <c:ptCount val="20"/>
                <c:lvl>
                  <c:pt idx="0">
                    <c:v>New Sale</c:v>
                  </c:pt>
                  <c:pt idx="1">
                    <c:v>Repeat Sale</c:v>
                  </c:pt>
                  <c:pt idx="2">
                    <c:v>New Sale</c:v>
                  </c:pt>
                  <c:pt idx="3">
                    <c:v>Repeat Sale</c:v>
                  </c:pt>
                  <c:pt idx="4">
                    <c:v>New Sale</c:v>
                  </c:pt>
                  <c:pt idx="5">
                    <c:v>Repeat Sale</c:v>
                  </c:pt>
                  <c:pt idx="6">
                    <c:v>New Sale</c:v>
                  </c:pt>
                  <c:pt idx="7">
                    <c:v>Repeat Sale</c:v>
                  </c:pt>
                  <c:pt idx="8">
                    <c:v>New Sale</c:v>
                  </c:pt>
                  <c:pt idx="9">
                    <c:v>Repeat Sale</c:v>
                  </c:pt>
                  <c:pt idx="10">
                    <c:v>New Sale</c:v>
                  </c:pt>
                  <c:pt idx="11">
                    <c:v>Repeat Sale</c:v>
                  </c:pt>
                  <c:pt idx="12">
                    <c:v>New Sale</c:v>
                  </c:pt>
                  <c:pt idx="13">
                    <c:v>Repeat Sale</c:v>
                  </c:pt>
                  <c:pt idx="14">
                    <c:v>New Sale</c:v>
                  </c:pt>
                  <c:pt idx="15">
                    <c:v>Repeat Sale</c:v>
                  </c:pt>
                  <c:pt idx="16">
                    <c:v>New Sale</c:v>
                  </c:pt>
                  <c:pt idx="17">
                    <c:v>Repeat Sale</c:v>
                  </c:pt>
                  <c:pt idx="18">
                    <c:v>New Sale</c:v>
                  </c:pt>
                  <c:pt idx="19">
                    <c:v>Repeat Sale</c:v>
                  </c:pt>
                </c:lvl>
                <c:lvl>
                  <c:pt idx="0">
                    <c:v>Omar Ali</c:v>
                  </c:pt>
                  <c:pt idx="2">
                    <c:v>UrbanLeaf</c:v>
                  </c:pt>
                  <c:pt idx="4">
                    <c:v>Quantaa Sphere Tech</c:v>
                  </c:pt>
                  <c:pt idx="6">
                    <c:v>Altura Networks</c:v>
                  </c:pt>
                  <c:pt idx="8">
                    <c:v>Aetherion Systems</c:v>
                  </c:pt>
                  <c:pt idx="10">
                    <c:v>Layla Al Dhahani</c:v>
                  </c:pt>
                  <c:pt idx="12">
                    <c:v>Sara Ahmed</c:v>
                  </c:pt>
                  <c:pt idx="14">
                    <c:v>BrightEdge Solutions</c:v>
                  </c:pt>
                  <c:pt idx="16">
                    <c:v>Stratoscope</c:v>
                  </c:pt>
                  <c:pt idx="18">
                    <c:v>Nexa Core</c:v>
                  </c:pt>
                </c:lvl>
              </c:multiLvlStrCache>
            </c:multiLvlStrRef>
          </c:cat>
          <c:val>
            <c:numRef>
              <c:f>Pivot!$B$74:$B$104</c:f>
              <c:numCache>
                <c:formatCode>General</c:formatCode>
                <c:ptCount val="20"/>
                <c:pt idx="0">
                  <c:v>36192</c:v>
                </c:pt>
                <c:pt idx="1">
                  <c:v>13766</c:v>
                </c:pt>
                <c:pt idx="2">
                  <c:v>23034</c:v>
                </c:pt>
                <c:pt idx="3">
                  <c:v>26054</c:v>
                </c:pt>
                <c:pt idx="4">
                  <c:v>32041</c:v>
                </c:pt>
                <c:pt idx="5">
                  <c:v>12628</c:v>
                </c:pt>
                <c:pt idx="6">
                  <c:v>26645</c:v>
                </c:pt>
                <c:pt idx="7">
                  <c:v>12101</c:v>
                </c:pt>
                <c:pt idx="8">
                  <c:v>14302</c:v>
                </c:pt>
                <c:pt idx="9">
                  <c:v>24300</c:v>
                </c:pt>
                <c:pt idx="10">
                  <c:v>11091</c:v>
                </c:pt>
                <c:pt idx="11">
                  <c:v>25601</c:v>
                </c:pt>
                <c:pt idx="12">
                  <c:v>15484</c:v>
                </c:pt>
                <c:pt idx="13">
                  <c:v>18795</c:v>
                </c:pt>
                <c:pt idx="14">
                  <c:v>15244</c:v>
                </c:pt>
                <c:pt idx="15">
                  <c:v>18294</c:v>
                </c:pt>
                <c:pt idx="16">
                  <c:v>18427</c:v>
                </c:pt>
                <c:pt idx="17">
                  <c:v>14440</c:v>
                </c:pt>
                <c:pt idx="18">
                  <c:v>18407</c:v>
                </c:pt>
                <c:pt idx="19">
                  <c:v>5916</c:v>
                </c:pt>
              </c:numCache>
            </c:numRef>
          </c:val>
          <c:extLst>
            <c:ext xmlns:c16="http://schemas.microsoft.com/office/drawing/2014/chart" uri="{C3380CC4-5D6E-409C-BE32-E72D297353CC}">
              <c16:uniqueId val="{00000000-DD42-4A2C-A45F-57076B465A9A}"/>
            </c:ext>
          </c:extLst>
        </c:ser>
        <c:dLbls>
          <c:dLblPos val="outEnd"/>
          <c:showLegendKey val="0"/>
          <c:showVal val="1"/>
          <c:showCatName val="0"/>
          <c:showSerName val="0"/>
          <c:showPercent val="0"/>
          <c:showBubbleSize val="0"/>
        </c:dLbls>
        <c:gapWidth val="150"/>
        <c:axId val="580531224"/>
        <c:axId val="580535544"/>
      </c:barChart>
      <c:catAx>
        <c:axId val="580531224"/>
        <c:scaling>
          <c:orientation val="minMax"/>
        </c:scaling>
        <c:delete val="0"/>
        <c:axPos val="b"/>
        <c:numFmt formatCode="General" sourceLinked="1"/>
        <c:majorTickMark val="out"/>
        <c:minorTickMark val="none"/>
        <c:tickLblPos val="nextTo"/>
        <c:txPr>
          <a:bodyPr rot="-5400000" vert="horz"/>
          <a:lstStyle/>
          <a:p>
            <a:pPr>
              <a:defRPr/>
            </a:pPr>
            <a:endParaRPr lang="en-US"/>
          </a:p>
        </c:txPr>
        <c:crossAx val="580535544"/>
        <c:crosses val="autoZero"/>
        <c:auto val="1"/>
        <c:lblAlgn val="ctr"/>
        <c:lblOffset val="100"/>
        <c:noMultiLvlLbl val="0"/>
      </c:catAx>
      <c:valAx>
        <c:axId val="580535544"/>
        <c:scaling>
          <c:orientation val="minMax"/>
        </c:scaling>
        <c:delete val="0"/>
        <c:axPos val="l"/>
        <c:numFmt formatCode="General" sourceLinked="1"/>
        <c:majorTickMark val="out"/>
        <c:minorTickMark val="none"/>
        <c:tickLblPos val="nextTo"/>
        <c:crossAx val="580531224"/>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106680</xdr:colOff>
      <xdr:row>6</xdr:row>
      <xdr:rowOff>121920</xdr:rowOff>
    </xdr:from>
    <xdr:to>
      <xdr:col>7</xdr:col>
      <xdr:colOff>236220</xdr:colOff>
      <xdr:row>19</xdr:row>
      <xdr:rowOff>60960</xdr:rowOff>
    </xdr:to>
    <xdr:graphicFrame macro="">
      <xdr:nvGraphicFramePr>
        <xdr:cNvPr id="2" name="Chart 1">
          <a:extLst>
            <a:ext uri="{FF2B5EF4-FFF2-40B4-BE49-F238E27FC236}">
              <a16:creationId xmlns:a16="http://schemas.microsoft.com/office/drawing/2014/main" id="{5F6A5202-C6FA-B3F9-8C2A-DF06C65FD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358140</xdr:colOff>
      <xdr:row>6</xdr:row>
      <xdr:rowOff>137160</xdr:rowOff>
    </xdr:from>
    <xdr:to>
      <xdr:col>12</xdr:col>
      <xdr:colOff>205740</xdr:colOff>
      <xdr:row>19</xdr:row>
      <xdr:rowOff>76200</xdr:rowOff>
    </xdr:to>
    <xdr:graphicFrame macro="">
      <xdr:nvGraphicFramePr>
        <xdr:cNvPr id="3" name="Chart 2">
          <a:extLst>
            <a:ext uri="{FF2B5EF4-FFF2-40B4-BE49-F238E27FC236}">
              <a16:creationId xmlns:a16="http://schemas.microsoft.com/office/drawing/2014/main" id="{7ADB044B-3651-B397-94F0-B3D4063CC9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20320</xdr:colOff>
      <xdr:row>19</xdr:row>
      <xdr:rowOff>157480</xdr:rowOff>
    </xdr:from>
    <xdr:to>
      <xdr:col>13</xdr:col>
      <xdr:colOff>172720</xdr:colOff>
      <xdr:row>32</xdr:row>
      <xdr:rowOff>175260</xdr:rowOff>
    </xdr:to>
    <xdr:graphicFrame macro="">
      <xdr:nvGraphicFramePr>
        <xdr:cNvPr id="4" name="Chart 3">
          <a:extLst>
            <a:ext uri="{FF2B5EF4-FFF2-40B4-BE49-F238E27FC236}">
              <a16:creationId xmlns:a16="http://schemas.microsoft.com/office/drawing/2014/main" id="{B5F3C4FA-1007-FCD1-9867-A2370FA10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116840</xdr:colOff>
      <xdr:row>19</xdr:row>
      <xdr:rowOff>157480</xdr:rowOff>
    </xdr:from>
    <xdr:to>
      <xdr:col>6</xdr:col>
      <xdr:colOff>571500</xdr:colOff>
      <xdr:row>32</xdr:row>
      <xdr:rowOff>137160</xdr:rowOff>
    </xdr:to>
    <xdr:graphicFrame macro="">
      <xdr:nvGraphicFramePr>
        <xdr:cNvPr id="5" name="Chart 4">
          <a:extLst>
            <a:ext uri="{FF2B5EF4-FFF2-40B4-BE49-F238E27FC236}">
              <a16:creationId xmlns:a16="http://schemas.microsoft.com/office/drawing/2014/main" id="{101D95AC-FA37-681B-0030-E55CA62710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248920</xdr:colOff>
      <xdr:row>19</xdr:row>
      <xdr:rowOff>149860</xdr:rowOff>
    </xdr:from>
    <xdr:to>
      <xdr:col>20</xdr:col>
      <xdr:colOff>0</xdr:colOff>
      <xdr:row>33</xdr:row>
      <xdr:rowOff>22860</xdr:rowOff>
    </xdr:to>
    <xdr:graphicFrame macro="">
      <xdr:nvGraphicFramePr>
        <xdr:cNvPr id="6" name="Chart 5">
          <a:extLst>
            <a:ext uri="{FF2B5EF4-FFF2-40B4-BE49-F238E27FC236}">
              <a16:creationId xmlns:a16="http://schemas.microsoft.com/office/drawing/2014/main" id="{F1912DB0-917E-12BF-0BFA-D06C0ADFA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48260</xdr:colOff>
      <xdr:row>33</xdr:row>
      <xdr:rowOff>43180</xdr:rowOff>
    </xdr:from>
    <xdr:to>
      <xdr:col>13</xdr:col>
      <xdr:colOff>200660</xdr:colOff>
      <xdr:row>45</xdr:row>
      <xdr:rowOff>106680</xdr:rowOff>
    </xdr:to>
    <xdr:graphicFrame macro="">
      <xdr:nvGraphicFramePr>
        <xdr:cNvPr id="7" name="Chart 6">
          <a:extLst>
            <a:ext uri="{FF2B5EF4-FFF2-40B4-BE49-F238E27FC236}">
              <a16:creationId xmlns:a16="http://schemas.microsoft.com/office/drawing/2014/main" id="{FC41799D-A898-1A4E-12B5-0E94332EA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104140</xdr:colOff>
      <xdr:row>33</xdr:row>
      <xdr:rowOff>35560</xdr:rowOff>
    </xdr:from>
    <xdr:to>
      <xdr:col>6</xdr:col>
      <xdr:colOff>563880</xdr:colOff>
      <xdr:row>45</xdr:row>
      <xdr:rowOff>68580</xdr:rowOff>
    </xdr:to>
    <xdr:graphicFrame macro="">
      <xdr:nvGraphicFramePr>
        <xdr:cNvPr id="8" name="Chart 7">
          <a:extLst>
            <a:ext uri="{FF2B5EF4-FFF2-40B4-BE49-F238E27FC236}">
              <a16:creationId xmlns:a16="http://schemas.microsoft.com/office/drawing/2014/main" id="{A14D6FD4-079D-9566-52FF-72C017092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254000</xdr:colOff>
      <xdr:row>0</xdr:row>
      <xdr:rowOff>127000</xdr:rowOff>
    </xdr:from>
    <xdr:to>
      <xdr:col>5</xdr:col>
      <xdr:colOff>381000</xdr:colOff>
      <xdr:row>6</xdr:row>
      <xdr:rowOff>45720</xdr:rowOff>
    </xdr:to>
    <xdr:sp macro="" textlink="">
      <xdr:nvSpPr>
        <xdr:cNvPr id="11" name="csales">
          <a:extLst>
            <a:ext uri="{FF2B5EF4-FFF2-40B4-BE49-F238E27FC236}">
              <a16:creationId xmlns:a16="http://schemas.microsoft.com/office/drawing/2014/main" id="{26A26705-08A4-A863-FBD5-B9AB076F6527}"/>
            </a:ext>
          </a:extLst>
        </xdr:cNvPr>
        <xdr:cNvSpPr/>
      </xdr:nvSpPr>
      <xdr:spPr>
        <a:xfrm>
          <a:off x="254000" y="127000"/>
          <a:ext cx="3175000" cy="1016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TOTAL SALES</a:t>
          </a:r>
        </a:p>
        <a:p>
          <a:pPr algn="l"/>
          <a:r>
            <a:rPr lang="en-IN" sz="1600"/>
            <a:t>=Pivot!B4</a:t>
          </a:r>
        </a:p>
      </xdr:txBody>
    </xdr:sp>
    <xdr:clientData/>
  </xdr:twoCellAnchor>
  <xdr:twoCellAnchor>
    <xdr:from>
      <xdr:col>0</xdr:col>
      <xdr:colOff>68580</xdr:colOff>
      <xdr:row>0</xdr:row>
      <xdr:rowOff>127000</xdr:rowOff>
    </xdr:from>
    <xdr:to>
      <xdr:col>6</xdr:col>
      <xdr:colOff>60960</xdr:colOff>
      <xdr:row>6</xdr:row>
      <xdr:rowOff>45720</xdr:rowOff>
    </xdr:to>
    <xdr:sp macro="" textlink="">
      <xdr:nvSpPr>
        <xdr:cNvPr id="14" name="csales">
          <a:extLst>
            <a:ext uri="{FF2B5EF4-FFF2-40B4-BE49-F238E27FC236}">
              <a16:creationId xmlns:a16="http://schemas.microsoft.com/office/drawing/2014/main" id="{C9CC8847-F563-DAE9-5AE3-02C0729A1909}"/>
            </a:ext>
          </a:extLst>
        </xdr:cNvPr>
        <xdr:cNvSpPr/>
      </xdr:nvSpPr>
      <xdr:spPr>
        <a:xfrm>
          <a:off x="68580" y="127000"/>
          <a:ext cx="3649980" cy="1016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Sales</a:t>
          </a:r>
          <a:r>
            <a:rPr lang="en-IN" sz="2800" baseline="0"/>
            <a:t> Dashboard</a:t>
          </a:r>
          <a:endParaRPr lang="en-IN" sz="2800"/>
        </a:p>
      </xdr:txBody>
    </xdr:sp>
    <xdr:clientData/>
  </xdr:twoCellAnchor>
  <xdr:twoCellAnchor>
    <xdr:from>
      <xdr:col>16</xdr:col>
      <xdr:colOff>83820</xdr:colOff>
      <xdr:row>0</xdr:row>
      <xdr:rowOff>149860</xdr:rowOff>
    </xdr:from>
    <xdr:to>
      <xdr:col>19</xdr:col>
      <xdr:colOff>563880</xdr:colOff>
      <xdr:row>6</xdr:row>
      <xdr:rowOff>68580</xdr:rowOff>
    </xdr:to>
    <xdr:sp macro="" textlink="Pivot!C3">
      <xdr:nvSpPr>
        <xdr:cNvPr id="13" name="corders">
          <a:extLst>
            <a:ext uri="{FF2B5EF4-FFF2-40B4-BE49-F238E27FC236}">
              <a16:creationId xmlns:a16="http://schemas.microsoft.com/office/drawing/2014/main" id="{BE211B0E-7839-2F97-D4AB-A4B9335357F5}"/>
            </a:ext>
          </a:extLst>
        </xdr:cNvPr>
        <xdr:cNvSpPr/>
      </xdr:nvSpPr>
      <xdr:spPr>
        <a:xfrm>
          <a:off x="9837420" y="149860"/>
          <a:ext cx="2308860" cy="1016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bg1"/>
              </a:solidFill>
              <a:latin typeface="Calibri"/>
              <a:ea typeface="Calibri"/>
              <a:cs typeface="Calibri"/>
            </a:rPr>
            <a:t>Total</a:t>
          </a:r>
          <a:r>
            <a:rPr lang="en-US" sz="2000" b="0" i="0" u="none" strike="noStrike" baseline="0">
              <a:solidFill>
                <a:schemeClr val="bg1"/>
              </a:solidFill>
              <a:latin typeface="Calibri"/>
              <a:ea typeface="Calibri"/>
              <a:cs typeface="Calibri"/>
            </a:rPr>
            <a:t> Orders</a:t>
          </a:r>
        </a:p>
        <a:p>
          <a:pPr algn="ctr"/>
          <a:fld id="{1E09FDD2-31D3-4768-8992-DF7BCA4D2469}" type="TxLink">
            <a:rPr lang="en-US" sz="2000" b="0" i="0" u="none" strike="noStrike">
              <a:solidFill>
                <a:schemeClr val="bg1"/>
              </a:solidFill>
              <a:latin typeface="Calibri"/>
              <a:ea typeface="Calibri"/>
              <a:cs typeface="Calibri"/>
            </a:rPr>
            <a:pPr algn="ctr"/>
            <a:t>120</a:t>
          </a:fld>
          <a:endParaRPr lang="en-IN" sz="2000">
            <a:solidFill>
              <a:schemeClr val="bg1"/>
            </a:solidFill>
          </a:endParaRPr>
        </a:p>
      </xdr:txBody>
    </xdr:sp>
    <xdr:clientData/>
  </xdr:twoCellAnchor>
  <xdr:twoCellAnchor>
    <xdr:from>
      <xdr:col>11</xdr:col>
      <xdr:colOff>332740</xdr:colOff>
      <xdr:row>0</xdr:row>
      <xdr:rowOff>134620</xdr:rowOff>
    </xdr:from>
    <xdr:to>
      <xdr:col>16</xdr:col>
      <xdr:colOff>5080</xdr:colOff>
      <xdr:row>6</xdr:row>
      <xdr:rowOff>53340</xdr:rowOff>
    </xdr:to>
    <xdr:sp macro="" textlink="Pivot!B3">
      <xdr:nvSpPr>
        <xdr:cNvPr id="18" name="cmargin">
          <a:extLst>
            <a:ext uri="{FF2B5EF4-FFF2-40B4-BE49-F238E27FC236}">
              <a16:creationId xmlns:a16="http://schemas.microsoft.com/office/drawing/2014/main" id="{E930F7C3-70C7-281A-587F-6C55EB78E763}"/>
            </a:ext>
          </a:extLst>
        </xdr:cNvPr>
        <xdr:cNvSpPr/>
      </xdr:nvSpPr>
      <xdr:spPr>
        <a:xfrm>
          <a:off x="7038340" y="134620"/>
          <a:ext cx="2720340" cy="1016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bg1"/>
              </a:solidFill>
              <a:latin typeface="Calibri"/>
              <a:ea typeface="Calibri"/>
              <a:cs typeface="Calibri"/>
            </a:rPr>
            <a:t>Total</a:t>
          </a:r>
          <a:r>
            <a:rPr lang="en-US" sz="2000" b="0" i="0" u="none" strike="noStrike" baseline="0">
              <a:solidFill>
                <a:schemeClr val="bg1"/>
              </a:solidFill>
              <a:latin typeface="Calibri"/>
              <a:ea typeface="Calibri"/>
              <a:cs typeface="Calibri"/>
            </a:rPr>
            <a:t> Margin</a:t>
          </a:r>
          <a:endParaRPr lang="en-US" sz="2000" b="0" i="0" u="none" strike="noStrike">
            <a:solidFill>
              <a:schemeClr val="bg1"/>
            </a:solidFill>
            <a:latin typeface="Calibri"/>
            <a:ea typeface="Calibri"/>
            <a:cs typeface="Calibri"/>
          </a:endParaRPr>
        </a:p>
        <a:p>
          <a:pPr algn="ctr"/>
          <a:fld id="{5FD59932-905E-4AAE-8E72-DFDF8A6FDD51}" type="TxLink">
            <a:rPr lang="en-US" sz="2000" b="0" i="0" u="none" strike="noStrike">
              <a:solidFill>
                <a:schemeClr val="bg1"/>
              </a:solidFill>
              <a:latin typeface="Calibri"/>
              <a:ea typeface="Calibri"/>
              <a:cs typeface="Calibri"/>
            </a:rPr>
            <a:pPr algn="ctr"/>
            <a:t>151476.65</a:t>
          </a:fld>
          <a:endParaRPr lang="en-IN" sz="2000">
            <a:solidFill>
              <a:schemeClr val="bg1"/>
            </a:solidFill>
          </a:endParaRPr>
        </a:p>
      </xdr:txBody>
    </xdr:sp>
    <xdr:clientData/>
  </xdr:twoCellAnchor>
  <xdr:twoCellAnchor>
    <xdr:from>
      <xdr:col>6</xdr:col>
      <xdr:colOff>139700</xdr:colOff>
      <xdr:row>0</xdr:row>
      <xdr:rowOff>137160</xdr:rowOff>
    </xdr:from>
    <xdr:to>
      <xdr:col>11</xdr:col>
      <xdr:colOff>266700</xdr:colOff>
      <xdr:row>6</xdr:row>
      <xdr:rowOff>55880</xdr:rowOff>
    </xdr:to>
    <xdr:sp macro="" textlink="Pivot!A3">
      <xdr:nvSpPr>
        <xdr:cNvPr id="20" name="csales">
          <a:extLst>
            <a:ext uri="{FF2B5EF4-FFF2-40B4-BE49-F238E27FC236}">
              <a16:creationId xmlns:a16="http://schemas.microsoft.com/office/drawing/2014/main" id="{0953CE93-F5A6-BBEC-4E7B-D3A4317F1650}"/>
            </a:ext>
          </a:extLst>
        </xdr:cNvPr>
        <xdr:cNvSpPr/>
      </xdr:nvSpPr>
      <xdr:spPr>
        <a:xfrm>
          <a:off x="3797300" y="137160"/>
          <a:ext cx="3175000" cy="1016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effectLst/>
              <a:latin typeface="+mn-lt"/>
              <a:ea typeface="+mn-ea"/>
              <a:cs typeface="+mn-cs"/>
            </a:rPr>
            <a:t>Total</a:t>
          </a:r>
          <a:r>
            <a:rPr lang="en-IN" sz="2000" baseline="0">
              <a:solidFill>
                <a:schemeClr val="bg1"/>
              </a:solidFill>
              <a:effectLst/>
              <a:latin typeface="+mn-lt"/>
              <a:ea typeface="+mn-ea"/>
              <a:cs typeface="+mn-cs"/>
            </a:rPr>
            <a:t> Sales</a:t>
          </a:r>
        </a:p>
        <a:p>
          <a:pPr algn="ctr"/>
          <a:fld id="{5B5AA259-DDC8-4EFE-8E4A-050652B0F520}" type="TxLink">
            <a:rPr lang="en-US" sz="2000" b="0" i="0" u="none" strike="noStrike">
              <a:solidFill>
                <a:schemeClr val="bg1"/>
              </a:solidFill>
              <a:latin typeface="Calibri"/>
              <a:ea typeface="Calibri"/>
              <a:cs typeface="Calibri"/>
            </a:rPr>
            <a:pPr algn="ctr"/>
            <a:t>471562</a:t>
          </a:fld>
          <a:endParaRPr lang="en-IN" sz="2000">
            <a:solidFill>
              <a:schemeClr val="bg1"/>
            </a:solidFill>
          </a:endParaRPr>
        </a:p>
      </xdr:txBody>
    </xdr:sp>
    <xdr:clientData/>
  </xdr:twoCellAnchor>
  <xdr:twoCellAnchor editAs="oneCell">
    <xdr:from>
      <xdr:col>16</xdr:col>
      <xdr:colOff>7620</xdr:colOff>
      <xdr:row>6</xdr:row>
      <xdr:rowOff>154940</xdr:rowOff>
    </xdr:from>
    <xdr:to>
      <xdr:col>19</xdr:col>
      <xdr:colOff>586740</xdr:colOff>
      <xdr:row>16</xdr:row>
      <xdr:rowOff>30480</xdr:rowOff>
    </xdr:to>
    <mc:AlternateContent xmlns:mc="http://schemas.openxmlformats.org/markup-compatibility/2006">
      <mc:Choice xmlns:a14="http://schemas.microsoft.com/office/drawing/2010/main" Requires="a14">
        <xdr:graphicFrame macro="">
          <xdr:nvGraphicFramePr>
            <xdr:cNvPr id="23" name="sCity">
              <a:extLst>
                <a:ext uri="{FF2B5EF4-FFF2-40B4-BE49-F238E27FC236}">
                  <a16:creationId xmlns:a16="http://schemas.microsoft.com/office/drawing/2014/main" id="{0569822A-8278-7326-706A-765D30A89A2E}"/>
                </a:ext>
              </a:extLst>
            </xdr:cNvPr>
            <xdr:cNvGraphicFramePr/>
          </xdr:nvGraphicFramePr>
          <xdr:xfrm>
            <a:off x="0" y="0"/>
            <a:ext cx="0" cy="0"/>
          </xdr:xfrm>
          <a:graphic>
            <a:graphicData uri="http://schemas.microsoft.com/office/drawing/2010/slicer">
              <sle:slicer xmlns:sle="http://schemas.microsoft.com/office/drawing/2010/slicer" name="sCity"/>
            </a:graphicData>
          </a:graphic>
        </xdr:graphicFrame>
      </mc:Choice>
      <mc:Fallback>
        <xdr:sp macro="" textlink="">
          <xdr:nvSpPr>
            <xdr:cNvPr id="0" name=""/>
            <xdr:cNvSpPr>
              <a:spLocks noTextEdit="1"/>
            </xdr:cNvSpPr>
          </xdr:nvSpPr>
          <xdr:spPr>
            <a:xfrm>
              <a:off x="9736590" y="1263304"/>
              <a:ext cx="2403302" cy="1722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304800</xdr:colOff>
      <xdr:row>6</xdr:row>
      <xdr:rowOff>149860</xdr:rowOff>
    </xdr:from>
    <xdr:to>
      <xdr:col>15</xdr:col>
      <xdr:colOff>563880</xdr:colOff>
      <xdr:row>16</xdr:row>
      <xdr:rowOff>30480</xdr:rowOff>
    </xdr:to>
    <mc:AlternateContent xmlns:mc="http://schemas.openxmlformats.org/markup-compatibility/2006">
      <mc:Choice xmlns:a14="http://schemas.microsoft.com/office/drawing/2010/main" Requires="a14">
        <xdr:graphicFrame macro="">
          <xdr:nvGraphicFramePr>
            <xdr:cNvPr id="24" name="sService">
              <a:extLst>
                <a:ext uri="{FF2B5EF4-FFF2-40B4-BE49-F238E27FC236}">
                  <a16:creationId xmlns:a16="http://schemas.microsoft.com/office/drawing/2014/main" id="{1C1666E5-1BD2-3C9C-8C73-E5EC692D275E}"/>
                </a:ext>
              </a:extLst>
            </xdr:cNvPr>
            <xdr:cNvGraphicFramePr/>
          </xdr:nvGraphicFramePr>
          <xdr:xfrm>
            <a:off x="0" y="0"/>
            <a:ext cx="0" cy="0"/>
          </xdr:xfrm>
          <a:graphic>
            <a:graphicData uri="http://schemas.microsoft.com/office/drawing/2010/slicer">
              <sle:slicer xmlns:sle="http://schemas.microsoft.com/office/drawing/2010/slicer" name="sService"/>
            </a:graphicData>
          </a:graphic>
        </xdr:graphicFrame>
      </mc:Choice>
      <mc:Fallback>
        <xdr:sp macro="" textlink="">
          <xdr:nvSpPr>
            <xdr:cNvPr id="0" name=""/>
            <xdr:cNvSpPr>
              <a:spLocks noTextEdit="1"/>
            </xdr:cNvSpPr>
          </xdr:nvSpPr>
          <xdr:spPr>
            <a:xfrm>
              <a:off x="7601527" y="1258224"/>
              <a:ext cx="2083262" cy="1727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312420</xdr:colOff>
      <xdr:row>16</xdr:row>
      <xdr:rowOff>53340</xdr:rowOff>
    </xdr:from>
    <xdr:to>
      <xdr:col>19</xdr:col>
      <xdr:colOff>594360</xdr:colOff>
      <xdr:row>19</xdr:row>
      <xdr:rowOff>121920</xdr:rowOff>
    </xdr:to>
    <mc:AlternateContent xmlns:mc="http://schemas.openxmlformats.org/markup-compatibility/2006">
      <mc:Choice xmlns:a14="http://schemas.microsoft.com/office/drawing/2010/main" Requires="a14">
        <xdr:graphicFrame macro="">
          <xdr:nvGraphicFramePr>
            <xdr:cNvPr id="25" name="sSale">
              <a:extLst>
                <a:ext uri="{FF2B5EF4-FFF2-40B4-BE49-F238E27FC236}">
                  <a16:creationId xmlns:a16="http://schemas.microsoft.com/office/drawing/2014/main" id="{D7F5A9D9-CA97-59E4-678F-7128739DB7A2}"/>
                </a:ext>
              </a:extLst>
            </xdr:cNvPr>
            <xdr:cNvGraphicFramePr/>
          </xdr:nvGraphicFramePr>
          <xdr:xfrm>
            <a:off x="0" y="0"/>
            <a:ext cx="0" cy="0"/>
          </xdr:xfrm>
          <a:graphic>
            <a:graphicData uri="http://schemas.microsoft.com/office/drawing/2010/slicer">
              <sle:slicer xmlns:sle="http://schemas.microsoft.com/office/drawing/2010/slicer" name="sSale"/>
            </a:graphicData>
          </a:graphic>
        </xdr:graphicFrame>
      </mc:Choice>
      <mc:Fallback>
        <xdr:sp macro="" textlink="">
          <xdr:nvSpPr>
            <xdr:cNvPr id="0" name=""/>
            <xdr:cNvSpPr>
              <a:spLocks noTextEdit="1"/>
            </xdr:cNvSpPr>
          </xdr:nvSpPr>
          <xdr:spPr>
            <a:xfrm>
              <a:off x="7609147" y="3008976"/>
              <a:ext cx="4538365" cy="622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243840</xdr:colOff>
      <xdr:row>33</xdr:row>
      <xdr:rowOff>60960</xdr:rowOff>
    </xdr:from>
    <xdr:to>
      <xdr:col>19</xdr:col>
      <xdr:colOff>600363</xdr:colOff>
      <xdr:row>45</xdr:row>
      <xdr:rowOff>121920</xdr:rowOff>
    </xdr:to>
    <xdr:graphicFrame macro="">
      <xdr:nvGraphicFramePr>
        <xdr:cNvPr id="26" name="Chart 25">
          <a:extLst>
            <a:ext uri="{FF2B5EF4-FFF2-40B4-BE49-F238E27FC236}">
              <a16:creationId xmlns:a16="http://schemas.microsoft.com/office/drawing/2014/main" id="{9D43F68D-6756-432E-B9EA-1B84A6362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114297</xdr:colOff>
      <xdr:row>45</xdr:row>
      <xdr:rowOff>167639</xdr:rowOff>
    </xdr:from>
    <xdr:to>
      <xdr:col>20</xdr:col>
      <xdr:colOff>11544</xdr:colOff>
      <xdr:row>63</xdr:row>
      <xdr:rowOff>155510</xdr:rowOff>
    </xdr:to>
    <xdr:graphicFrame macro="">
      <xdr:nvGraphicFramePr>
        <xdr:cNvPr id="29" name="Chart 28">
          <a:extLst>
            <a:ext uri="{FF2B5EF4-FFF2-40B4-BE49-F238E27FC236}">
              <a16:creationId xmlns:a16="http://schemas.microsoft.com/office/drawing/2014/main" id="{32266766-5376-441E-A836-5139D9D17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bhav Rastogi" refreshedDate="46007.821551504632" createdVersion="3" refreshedVersion="8" minRefreshableVersion="3" recordCount="120" xr:uid="{14D8406E-E69D-4DA4-A650-565C10444AA7}">
  <cacheSource type="worksheet">
    <worksheetSource ref="A1:N121" sheet="Data"/>
  </cacheSource>
  <cacheFields count="16">
    <cacheField name="Date" numFmtId="164">
      <sharedItems containsSemiMixedTypes="0" containsNonDate="0" containsDate="1" containsString="0" minDate="2023-01-01T00:00:00" maxDate="2023-04-01T00:00:00" count="62">
        <d v="2023-03-30T00:00:00"/>
        <d v="2023-01-19T00:00:00"/>
        <d v="2023-01-13T00:00:00"/>
        <d v="2023-02-09T00:00:00"/>
        <d v="2023-03-07T00:00:00"/>
        <d v="2023-03-03T00:00:00"/>
        <d v="2023-01-12T00:00:00"/>
        <d v="2023-01-06T00:00:00"/>
        <d v="2023-02-22T00:00:00"/>
        <d v="2023-01-20T00:00:00"/>
        <d v="2023-03-05T00:00:00"/>
        <d v="2023-02-15T00:00:00"/>
        <d v="2023-01-18T00:00:00"/>
        <d v="2023-02-03T00:00:00"/>
        <d v="2023-01-07T00:00:00"/>
        <d v="2023-01-03T00:00:00"/>
        <d v="2023-03-19T00:00:00"/>
        <d v="2023-03-29T00:00:00"/>
        <d v="2023-02-06T00:00:00"/>
        <d v="2023-01-24T00:00:00"/>
        <d v="2023-03-17T00:00:00"/>
        <d v="2023-01-28T00:00:00"/>
        <d v="2023-03-20T00:00:00"/>
        <d v="2023-03-14T00:00:00"/>
        <d v="2023-02-02T00:00:00"/>
        <d v="2023-01-23T00:00:00"/>
        <d v="2023-02-28T00:00:00"/>
        <d v="2023-01-30T00:00:00"/>
        <d v="2023-03-12T00:00:00"/>
        <d v="2023-02-14T00:00:00"/>
        <d v="2023-02-13T00:00:00"/>
        <d v="2023-02-08T00:00:00"/>
        <d v="2023-02-26T00:00:00"/>
        <d v="2023-03-06T00:00:00"/>
        <d v="2023-03-02T00:00:00"/>
        <d v="2023-01-15T00:00:00"/>
        <d v="2023-01-11T00:00:00"/>
        <d v="2023-01-17T00:00:00"/>
        <d v="2023-01-10T00:00:00"/>
        <d v="2023-01-04T00:00:00"/>
        <d v="2023-01-14T00:00:00"/>
        <d v="2023-01-16T00:00:00"/>
        <d v="2023-02-11T00:00:00"/>
        <d v="2023-02-18T00:00:00"/>
        <d v="2023-03-16T00:00:00"/>
        <d v="2023-01-02T00:00:00"/>
        <d v="2023-01-29T00:00:00"/>
        <d v="2023-02-25T00:00:00"/>
        <d v="2023-03-11T00:00:00"/>
        <d v="2023-02-19T00:00:00"/>
        <d v="2023-03-31T00:00:00"/>
        <d v="2023-01-31T00:00:00"/>
        <d v="2023-03-10T00:00:00"/>
        <d v="2023-02-17T00:00:00"/>
        <d v="2023-03-28T00:00:00"/>
        <d v="2023-03-24T00:00:00"/>
        <d v="2023-01-01T00:00:00"/>
        <d v="2023-02-21T00:00:00"/>
        <d v="2023-02-27T00:00:00"/>
        <d v="2023-03-09T00:00:00"/>
        <d v="2023-02-16T00:00:00"/>
        <d v="2023-01-05T00:00:00"/>
      </sharedItems>
      <fieldGroup par="15"/>
    </cacheField>
    <cacheField name="Month" numFmtId="0">
      <sharedItems count="3">
        <s v="March"/>
        <s v="January"/>
        <s v="February"/>
      </sharedItems>
    </cacheField>
    <cacheField name="Year" numFmtId="0">
      <sharedItems count="1">
        <s v="2023"/>
      </sharedItems>
    </cacheField>
    <cacheField name="Customer Name" numFmtId="0">
      <sharedItems count="15">
        <s v="Fatima Saeed"/>
        <s v="Altura Networks"/>
        <s v="Quantaa Sphere Tech"/>
        <s v="BrightEdge Solutions"/>
        <s v="UrbanLeaf"/>
        <s v="Synergenix Labs"/>
        <s v="NovaTech"/>
        <s v="Aetherion Systems"/>
        <s v="Sara Ahmed"/>
        <s v="Stratoscope"/>
        <s v="Nexa Core"/>
        <s v="Omar Ali"/>
        <s v="Basma Nasser"/>
        <s v="Layla Al Dhahani"/>
        <s v="Luminex Global"/>
      </sharedItems>
    </cacheField>
    <cacheField name="Customer Type" numFmtId="0">
      <sharedItems count="2">
        <s v="Individual"/>
        <s v="Company"/>
      </sharedItems>
    </cacheField>
    <cacheField name="Service" numFmtId="0">
      <sharedItems count="5">
        <s v="Web Dev"/>
        <s v="SEO"/>
        <s v="Ads"/>
        <s v="App Dev"/>
        <s v="Social Media"/>
      </sharedItems>
    </cacheField>
    <cacheField name="Department" numFmtId="0">
      <sharedItems count="3">
        <s v="Design"/>
        <s v="Copywriting"/>
        <s v="Marketing"/>
      </sharedItems>
    </cacheField>
    <cacheField name="City" numFmtId="0">
      <sharedItems count="5">
        <s v="Ajman"/>
        <s v="Dubai"/>
        <s v="Abu Dhabi"/>
        <s v="Al Ain"/>
        <s v="Sharjah"/>
      </sharedItems>
    </cacheField>
    <cacheField name="Sales Amount" numFmtId="0">
      <sharedItems containsSemiMixedTypes="0" containsString="0" containsNumber="1" containsInteger="1" minValue="2033" maxValue="5971"/>
    </cacheField>
    <cacheField name="Margin %" numFmtId="0">
      <sharedItems containsSemiMixedTypes="0" containsString="0" containsNumber="1" minValue="0.25" maxValue="0.4"/>
    </cacheField>
    <cacheField name="Margin Amount" numFmtId="0">
      <sharedItems containsSemiMixedTypes="0" containsString="0" containsNumber="1" minValue="574.75" maxValue="2336.8000000000002"/>
    </cacheField>
    <cacheField name="Sale Type" numFmtId="0">
      <sharedItems count="2">
        <s v="Repeat Sale"/>
        <s v="New Sale"/>
      </sharedItems>
    </cacheField>
    <cacheField name="Customer Source" numFmtId="0">
      <sharedItems count="3">
        <s v="Organic"/>
        <s v="Walk in"/>
        <s v="Ads"/>
      </sharedItems>
    </cacheField>
    <cacheField name="Package Type" numFmtId="0">
      <sharedItems count="4">
        <s v="Quarterly"/>
        <s v="Annual"/>
        <s v="Bi Annual"/>
        <s v="Monthly"/>
      </sharedItems>
    </cacheField>
    <cacheField name="Days (Date)" numFmtId="0" databaseField="0">
      <fieldGroup base="0">
        <rangePr groupBy="days" startDate="2023-01-01T00:00:00" endDate="2023-04-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4-2023"/>
        </groupItems>
      </fieldGroup>
    </cacheField>
    <cacheField name="Months (Date)" numFmtId="0" databaseField="0">
      <fieldGroup base="0">
        <rangePr groupBy="months" startDate="2023-01-01T00:00:00" endDate="2023-04-01T00:00:00"/>
        <groupItems count="14">
          <s v="&lt;01-01-2023"/>
          <s v="Jan"/>
          <s v="Feb"/>
          <s v="Mar"/>
          <s v="Apr"/>
          <s v="May"/>
          <s v="Jun"/>
          <s v="Jul"/>
          <s v="Aug"/>
          <s v="Sep"/>
          <s v="Oct"/>
          <s v="Nov"/>
          <s v="Dec"/>
          <s v="&gt;01-04-2023"/>
        </groupItems>
      </fieldGroup>
    </cacheField>
  </cacheFields>
  <extLst>
    <ext xmlns:x14="http://schemas.microsoft.com/office/spreadsheetml/2009/9/main" uri="{725AE2AE-9491-48be-B2B4-4EB974FC3084}">
      <x14:pivotCacheDefinition pivotCacheId="761701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x v="0"/>
    <x v="0"/>
    <x v="0"/>
    <x v="0"/>
    <x v="0"/>
    <n v="2033"/>
    <n v="0.3"/>
    <n v="609.9"/>
    <x v="0"/>
    <x v="0"/>
    <x v="0"/>
  </r>
  <r>
    <x v="1"/>
    <x v="1"/>
    <x v="0"/>
    <x v="1"/>
    <x v="0"/>
    <x v="1"/>
    <x v="1"/>
    <x v="0"/>
    <n v="4847"/>
    <n v="0.3"/>
    <n v="1454.1"/>
    <x v="1"/>
    <x v="1"/>
    <x v="1"/>
  </r>
  <r>
    <x v="2"/>
    <x v="1"/>
    <x v="0"/>
    <x v="2"/>
    <x v="0"/>
    <x v="2"/>
    <x v="2"/>
    <x v="1"/>
    <n v="3168"/>
    <n v="0.25"/>
    <n v="792"/>
    <x v="0"/>
    <x v="2"/>
    <x v="2"/>
  </r>
  <r>
    <x v="3"/>
    <x v="2"/>
    <x v="0"/>
    <x v="2"/>
    <x v="0"/>
    <x v="3"/>
    <x v="0"/>
    <x v="0"/>
    <n v="3839"/>
    <n v="0.3"/>
    <n v="1151.7"/>
    <x v="1"/>
    <x v="0"/>
    <x v="2"/>
  </r>
  <r>
    <x v="4"/>
    <x v="0"/>
    <x v="0"/>
    <x v="3"/>
    <x v="1"/>
    <x v="2"/>
    <x v="2"/>
    <x v="2"/>
    <n v="3746"/>
    <n v="0.4"/>
    <n v="1498.4"/>
    <x v="0"/>
    <x v="1"/>
    <x v="3"/>
  </r>
  <r>
    <x v="5"/>
    <x v="0"/>
    <x v="0"/>
    <x v="2"/>
    <x v="1"/>
    <x v="1"/>
    <x v="1"/>
    <x v="3"/>
    <n v="5476"/>
    <n v="0.3"/>
    <n v="1642.8"/>
    <x v="1"/>
    <x v="1"/>
    <x v="0"/>
  </r>
  <r>
    <x v="6"/>
    <x v="1"/>
    <x v="0"/>
    <x v="4"/>
    <x v="0"/>
    <x v="2"/>
    <x v="2"/>
    <x v="1"/>
    <n v="2627"/>
    <n v="0.3"/>
    <n v="788.1"/>
    <x v="0"/>
    <x v="2"/>
    <x v="3"/>
  </r>
  <r>
    <x v="7"/>
    <x v="1"/>
    <x v="0"/>
    <x v="5"/>
    <x v="1"/>
    <x v="3"/>
    <x v="0"/>
    <x v="4"/>
    <n v="2513"/>
    <n v="0.25"/>
    <n v="628.25"/>
    <x v="0"/>
    <x v="2"/>
    <x v="2"/>
  </r>
  <r>
    <x v="8"/>
    <x v="2"/>
    <x v="0"/>
    <x v="3"/>
    <x v="1"/>
    <x v="1"/>
    <x v="1"/>
    <x v="0"/>
    <n v="2749"/>
    <n v="0.25"/>
    <n v="687.25"/>
    <x v="0"/>
    <x v="0"/>
    <x v="3"/>
  </r>
  <r>
    <x v="9"/>
    <x v="1"/>
    <x v="0"/>
    <x v="6"/>
    <x v="0"/>
    <x v="4"/>
    <x v="2"/>
    <x v="0"/>
    <n v="2489"/>
    <n v="0.35"/>
    <n v="871.15"/>
    <x v="0"/>
    <x v="2"/>
    <x v="0"/>
  </r>
  <r>
    <x v="10"/>
    <x v="0"/>
    <x v="0"/>
    <x v="7"/>
    <x v="0"/>
    <x v="4"/>
    <x v="2"/>
    <x v="1"/>
    <n v="5370"/>
    <n v="0.25"/>
    <n v="1342.5"/>
    <x v="1"/>
    <x v="2"/>
    <x v="3"/>
  </r>
  <r>
    <x v="11"/>
    <x v="2"/>
    <x v="0"/>
    <x v="5"/>
    <x v="0"/>
    <x v="3"/>
    <x v="0"/>
    <x v="1"/>
    <n v="2580"/>
    <n v="0.25"/>
    <n v="645"/>
    <x v="0"/>
    <x v="0"/>
    <x v="0"/>
  </r>
  <r>
    <x v="12"/>
    <x v="1"/>
    <x v="0"/>
    <x v="2"/>
    <x v="0"/>
    <x v="3"/>
    <x v="0"/>
    <x v="0"/>
    <n v="3629"/>
    <n v="0.3"/>
    <n v="1088.7"/>
    <x v="1"/>
    <x v="1"/>
    <x v="2"/>
  </r>
  <r>
    <x v="13"/>
    <x v="2"/>
    <x v="0"/>
    <x v="3"/>
    <x v="0"/>
    <x v="1"/>
    <x v="1"/>
    <x v="1"/>
    <n v="3629"/>
    <n v="0.4"/>
    <n v="1451.6"/>
    <x v="0"/>
    <x v="0"/>
    <x v="1"/>
  </r>
  <r>
    <x v="14"/>
    <x v="1"/>
    <x v="0"/>
    <x v="8"/>
    <x v="0"/>
    <x v="0"/>
    <x v="0"/>
    <x v="4"/>
    <n v="2725"/>
    <n v="0.3"/>
    <n v="817.5"/>
    <x v="0"/>
    <x v="0"/>
    <x v="2"/>
  </r>
  <r>
    <x v="15"/>
    <x v="1"/>
    <x v="0"/>
    <x v="6"/>
    <x v="1"/>
    <x v="4"/>
    <x v="2"/>
    <x v="2"/>
    <n v="5077"/>
    <n v="0.25"/>
    <n v="1269.25"/>
    <x v="0"/>
    <x v="2"/>
    <x v="2"/>
  </r>
  <r>
    <x v="16"/>
    <x v="0"/>
    <x v="0"/>
    <x v="2"/>
    <x v="0"/>
    <x v="3"/>
    <x v="0"/>
    <x v="0"/>
    <n v="4167"/>
    <n v="0.3"/>
    <n v="1250.0999999999999"/>
    <x v="1"/>
    <x v="2"/>
    <x v="3"/>
  </r>
  <r>
    <x v="9"/>
    <x v="1"/>
    <x v="0"/>
    <x v="9"/>
    <x v="1"/>
    <x v="1"/>
    <x v="1"/>
    <x v="0"/>
    <n v="3375"/>
    <n v="0.35"/>
    <n v="1181.25"/>
    <x v="1"/>
    <x v="2"/>
    <x v="2"/>
  </r>
  <r>
    <x v="13"/>
    <x v="2"/>
    <x v="0"/>
    <x v="10"/>
    <x v="0"/>
    <x v="2"/>
    <x v="2"/>
    <x v="3"/>
    <n v="5778"/>
    <n v="0.4"/>
    <n v="2311.1999999999998"/>
    <x v="1"/>
    <x v="0"/>
    <x v="0"/>
  </r>
  <r>
    <x v="17"/>
    <x v="0"/>
    <x v="0"/>
    <x v="11"/>
    <x v="1"/>
    <x v="4"/>
    <x v="2"/>
    <x v="0"/>
    <n v="5905"/>
    <n v="0.35"/>
    <n v="2066.75"/>
    <x v="1"/>
    <x v="2"/>
    <x v="1"/>
  </r>
  <r>
    <x v="10"/>
    <x v="0"/>
    <x v="0"/>
    <x v="7"/>
    <x v="1"/>
    <x v="1"/>
    <x v="1"/>
    <x v="0"/>
    <n v="5060"/>
    <n v="0.25"/>
    <n v="1265"/>
    <x v="0"/>
    <x v="0"/>
    <x v="2"/>
  </r>
  <r>
    <x v="18"/>
    <x v="2"/>
    <x v="0"/>
    <x v="3"/>
    <x v="1"/>
    <x v="4"/>
    <x v="2"/>
    <x v="2"/>
    <n v="4133"/>
    <n v="0.3"/>
    <n v="1239.9000000000001"/>
    <x v="1"/>
    <x v="2"/>
    <x v="2"/>
  </r>
  <r>
    <x v="19"/>
    <x v="1"/>
    <x v="0"/>
    <x v="10"/>
    <x v="0"/>
    <x v="2"/>
    <x v="2"/>
    <x v="4"/>
    <n v="5499"/>
    <n v="0.35"/>
    <n v="1924.65"/>
    <x v="1"/>
    <x v="2"/>
    <x v="0"/>
  </r>
  <r>
    <x v="0"/>
    <x v="0"/>
    <x v="0"/>
    <x v="12"/>
    <x v="1"/>
    <x v="4"/>
    <x v="2"/>
    <x v="2"/>
    <n v="4352"/>
    <n v="0.3"/>
    <n v="1305.5999999999999"/>
    <x v="0"/>
    <x v="2"/>
    <x v="0"/>
  </r>
  <r>
    <x v="20"/>
    <x v="0"/>
    <x v="0"/>
    <x v="0"/>
    <x v="0"/>
    <x v="1"/>
    <x v="1"/>
    <x v="0"/>
    <n v="5198"/>
    <n v="0.25"/>
    <n v="1299.5"/>
    <x v="0"/>
    <x v="0"/>
    <x v="3"/>
  </r>
  <r>
    <x v="21"/>
    <x v="1"/>
    <x v="0"/>
    <x v="10"/>
    <x v="1"/>
    <x v="1"/>
    <x v="1"/>
    <x v="0"/>
    <n v="2045"/>
    <n v="0.3"/>
    <n v="613.5"/>
    <x v="1"/>
    <x v="0"/>
    <x v="0"/>
  </r>
  <r>
    <x v="22"/>
    <x v="0"/>
    <x v="0"/>
    <x v="8"/>
    <x v="0"/>
    <x v="1"/>
    <x v="1"/>
    <x v="3"/>
    <n v="5365"/>
    <n v="0.25"/>
    <n v="1341.25"/>
    <x v="1"/>
    <x v="1"/>
    <x v="1"/>
  </r>
  <r>
    <x v="23"/>
    <x v="0"/>
    <x v="0"/>
    <x v="4"/>
    <x v="0"/>
    <x v="2"/>
    <x v="2"/>
    <x v="0"/>
    <n v="4511"/>
    <n v="0.35"/>
    <n v="1578.85"/>
    <x v="1"/>
    <x v="1"/>
    <x v="0"/>
  </r>
  <r>
    <x v="12"/>
    <x v="1"/>
    <x v="0"/>
    <x v="0"/>
    <x v="1"/>
    <x v="0"/>
    <x v="0"/>
    <x v="1"/>
    <n v="2956"/>
    <n v="0.35"/>
    <n v="1034.5999999999999"/>
    <x v="0"/>
    <x v="2"/>
    <x v="2"/>
  </r>
  <r>
    <x v="13"/>
    <x v="2"/>
    <x v="0"/>
    <x v="5"/>
    <x v="0"/>
    <x v="2"/>
    <x v="2"/>
    <x v="3"/>
    <n v="4518"/>
    <n v="0.25"/>
    <n v="1129.5"/>
    <x v="1"/>
    <x v="0"/>
    <x v="3"/>
  </r>
  <r>
    <x v="18"/>
    <x v="2"/>
    <x v="0"/>
    <x v="1"/>
    <x v="1"/>
    <x v="2"/>
    <x v="2"/>
    <x v="1"/>
    <n v="4475"/>
    <n v="0.35"/>
    <n v="1566.25"/>
    <x v="0"/>
    <x v="2"/>
    <x v="2"/>
  </r>
  <r>
    <x v="24"/>
    <x v="2"/>
    <x v="0"/>
    <x v="13"/>
    <x v="0"/>
    <x v="4"/>
    <x v="2"/>
    <x v="1"/>
    <n v="3111"/>
    <n v="0.25"/>
    <n v="777.75"/>
    <x v="0"/>
    <x v="1"/>
    <x v="2"/>
  </r>
  <r>
    <x v="24"/>
    <x v="2"/>
    <x v="0"/>
    <x v="9"/>
    <x v="1"/>
    <x v="4"/>
    <x v="2"/>
    <x v="0"/>
    <n v="4268"/>
    <n v="0.25"/>
    <n v="1067"/>
    <x v="0"/>
    <x v="0"/>
    <x v="2"/>
  </r>
  <r>
    <x v="25"/>
    <x v="1"/>
    <x v="0"/>
    <x v="4"/>
    <x v="1"/>
    <x v="0"/>
    <x v="0"/>
    <x v="4"/>
    <n v="2619"/>
    <n v="0.4"/>
    <n v="1047.5999999999999"/>
    <x v="1"/>
    <x v="1"/>
    <x v="3"/>
  </r>
  <r>
    <x v="24"/>
    <x v="2"/>
    <x v="0"/>
    <x v="6"/>
    <x v="1"/>
    <x v="2"/>
    <x v="2"/>
    <x v="1"/>
    <n v="4046"/>
    <n v="0.35"/>
    <n v="1416.1"/>
    <x v="0"/>
    <x v="2"/>
    <x v="2"/>
  </r>
  <r>
    <x v="26"/>
    <x v="2"/>
    <x v="0"/>
    <x v="5"/>
    <x v="0"/>
    <x v="3"/>
    <x v="0"/>
    <x v="4"/>
    <n v="4921"/>
    <n v="0.25"/>
    <n v="1230.25"/>
    <x v="0"/>
    <x v="1"/>
    <x v="0"/>
  </r>
  <r>
    <x v="27"/>
    <x v="1"/>
    <x v="0"/>
    <x v="14"/>
    <x v="1"/>
    <x v="1"/>
    <x v="1"/>
    <x v="1"/>
    <n v="2289"/>
    <n v="0.4"/>
    <n v="915.6"/>
    <x v="0"/>
    <x v="1"/>
    <x v="2"/>
  </r>
  <r>
    <x v="12"/>
    <x v="1"/>
    <x v="0"/>
    <x v="6"/>
    <x v="0"/>
    <x v="0"/>
    <x v="0"/>
    <x v="2"/>
    <n v="4896"/>
    <n v="0.4"/>
    <n v="1958.4"/>
    <x v="0"/>
    <x v="0"/>
    <x v="3"/>
  </r>
  <r>
    <x v="24"/>
    <x v="2"/>
    <x v="0"/>
    <x v="1"/>
    <x v="0"/>
    <x v="1"/>
    <x v="1"/>
    <x v="3"/>
    <n v="3070"/>
    <n v="0.4"/>
    <n v="1228"/>
    <x v="1"/>
    <x v="2"/>
    <x v="2"/>
  </r>
  <r>
    <x v="28"/>
    <x v="0"/>
    <x v="0"/>
    <x v="10"/>
    <x v="1"/>
    <x v="1"/>
    <x v="1"/>
    <x v="1"/>
    <n v="2755"/>
    <n v="0.25"/>
    <n v="688.75"/>
    <x v="1"/>
    <x v="2"/>
    <x v="1"/>
  </r>
  <r>
    <x v="29"/>
    <x v="2"/>
    <x v="0"/>
    <x v="9"/>
    <x v="0"/>
    <x v="1"/>
    <x v="1"/>
    <x v="2"/>
    <n v="2137"/>
    <n v="0.4"/>
    <n v="854.8"/>
    <x v="0"/>
    <x v="2"/>
    <x v="3"/>
  </r>
  <r>
    <x v="16"/>
    <x v="0"/>
    <x v="0"/>
    <x v="2"/>
    <x v="1"/>
    <x v="0"/>
    <x v="0"/>
    <x v="2"/>
    <n v="5638"/>
    <n v="0.4"/>
    <n v="2255.1999999999998"/>
    <x v="0"/>
    <x v="1"/>
    <x v="2"/>
  </r>
  <r>
    <x v="20"/>
    <x v="0"/>
    <x v="0"/>
    <x v="11"/>
    <x v="0"/>
    <x v="4"/>
    <x v="2"/>
    <x v="0"/>
    <n v="3236"/>
    <n v="0.25"/>
    <n v="809"/>
    <x v="0"/>
    <x v="1"/>
    <x v="2"/>
  </r>
  <r>
    <x v="30"/>
    <x v="2"/>
    <x v="0"/>
    <x v="7"/>
    <x v="1"/>
    <x v="2"/>
    <x v="2"/>
    <x v="1"/>
    <n v="2864"/>
    <n v="0.35"/>
    <n v="1002.4"/>
    <x v="0"/>
    <x v="2"/>
    <x v="1"/>
  </r>
  <r>
    <x v="25"/>
    <x v="1"/>
    <x v="0"/>
    <x v="11"/>
    <x v="1"/>
    <x v="3"/>
    <x v="0"/>
    <x v="0"/>
    <n v="2091"/>
    <n v="0.4"/>
    <n v="836.4"/>
    <x v="1"/>
    <x v="1"/>
    <x v="0"/>
  </r>
  <r>
    <x v="31"/>
    <x v="2"/>
    <x v="0"/>
    <x v="4"/>
    <x v="1"/>
    <x v="4"/>
    <x v="2"/>
    <x v="2"/>
    <n v="5630"/>
    <n v="0.35"/>
    <n v="1970.5"/>
    <x v="1"/>
    <x v="1"/>
    <x v="0"/>
  </r>
  <r>
    <x v="32"/>
    <x v="2"/>
    <x v="0"/>
    <x v="4"/>
    <x v="1"/>
    <x v="1"/>
    <x v="1"/>
    <x v="3"/>
    <n v="2854"/>
    <n v="0.4"/>
    <n v="1141.5999999999999"/>
    <x v="0"/>
    <x v="0"/>
    <x v="3"/>
  </r>
  <r>
    <x v="26"/>
    <x v="2"/>
    <x v="0"/>
    <x v="7"/>
    <x v="0"/>
    <x v="0"/>
    <x v="0"/>
    <x v="2"/>
    <n v="4553"/>
    <n v="0.4"/>
    <n v="1821.2"/>
    <x v="1"/>
    <x v="1"/>
    <x v="0"/>
  </r>
  <r>
    <x v="33"/>
    <x v="0"/>
    <x v="0"/>
    <x v="11"/>
    <x v="0"/>
    <x v="1"/>
    <x v="1"/>
    <x v="2"/>
    <n v="2890"/>
    <n v="0.3"/>
    <n v="867"/>
    <x v="1"/>
    <x v="1"/>
    <x v="2"/>
  </r>
  <r>
    <x v="34"/>
    <x v="0"/>
    <x v="0"/>
    <x v="2"/>
    <x v="1"/>
    <x v="0"/>
    <x v="0"/>
    <x v="0"/>
    <n v="2412"/>
    <n v="0.35"/>
    <n v="844.2"/>
    <x v="1"/>
    <x v="0"/>
    <x v="1"/>
  </r>
  <r>
    <x v="22"/>
    <x v="0"/>
    <x v="0"/>
    <x v="9"/>
    <x v="0"/>
    <x v="1"/>
    <x v="1"/>
    <x v="4"/>
    <n v="4314"/>
    <n v="0.35"/>
    <n v="1509.9"/>
    <x v="1"/>
    <x v="0"/>
    <x v="1"/>
  </r>
  <r>
    <x v="6"/>
    <x v="1"/>
    <x v="0"/>
    <x v="11"/>
    <x v="1"/>
    <x v="1"/>
    <x v="1"/>
    <x v="4"/>
    <n v="5286"/>
    <n v="0.4"/>
    <n v="2114.4"/>
    <x v="1"/>
    <x v="1"/>
    <x v="0"/>
  </r>
  <r>
    <x v="35"/>
    <x v="1"/>
    <x v="0"/>
    <x v="11"/>
    <x v="0"/>
    <x v="0"/>
    <x v="0"/>
    <x v="3"/>
    <n v="4070"/>
    <n v="0.35"/>
    <n v="1424.5"/>
    <x v="1"/>
    <x v="0"/>
    <x v="1"/>
  </r>
  <r>
    <x v="6"/>
    <x v="1"/>
    <x v="0"/>
    <x v="13"/>
    <x v="0"/>
    <x v="2"/>
    <x v="2"/>
    <x v="1"/>
    <n v="2680"/>
    <n v="0.3"/>
    <n v="804"/>
    <x v="0"/>
    <x v="2"/>
    <x v="0"/>
  </r>
  <r>
    <x v="2"/>
    <x v="1"/>
    <x v="0"/>
    <x v="4"/>
    <x v="0"/>
    <x v="1"/>
    <x v="1"/>
    <x v="1"/>
    <n v="3824"/>
    <n v="0.4"/>
    <n v="1529.6"/>
    <x v="0"/>
    <x v="2"/>
    <x v="1"/>
  </r>
  <r>
    <x v="36"/>
    <x v="1"/>
    <x v="0"/>
    <x v="3"/>
    <x v="1"/>
    <x v="4"/>
    <x v="2"/>
    <x v="0"/>
    <n v="4690"/>
    <n v="0.3"/>
    <n v="1407"/>
    <x v="1"/>
    <x v="0"/>
    <x v="0"/>
  </r>
  <r>
    <x v="20"/>
    <x v="0"/>
    <x v="0"/>
    <x v="4"/>
    <x v="0"/>
    <x v="3"/>
    <x v="0"/>
    <x v="4"/>
    <n v="5915"/>
    <n v="0.35"/>
    <n v="2070.25"/>
    <x v="0"/>
    <x v="1"/>
    <x v="2"/>
  </r>
  <r>
    <x v="37"/>
    <x v="1"/>
    <x v="0"/>
    <x v="7"/>
    <x v="0"/>
    <x v="0"/>
    <x v="0"/>
    <x v="4"/>
    <n v="5971"/>
    <n v="0.35"/>
    <n v="2089.85"/>
    <x v="0"/>
    <x v="2"/>
    <x v="3"/>
  </r>
  <r>
    <x v="38"/>
    <x v="1"/>
    <x v="0"/>
    <x v="7"/>
    <x v="1"/>
    <x v="1"/>
    <x v="1"/>
    <x v="2"/>
    <n v="2457"/>
    <n v="0.25"/>
    <n v="614.25"/>
    <x v="0"/>
    <x v="2"/>
    <x v="0"/>
  </r>
  <r>
    <x v="36"/>
    <x v="1"/>
    <x v="0"/>
    <x v="1"/>
    <x v="1"/>
    <x v="4"/>
    <x v="2"/>
    <x v="0"/>
    <n v="2716"/>
    <n v="0.3"/>
    <n v="814.8"/>
    <x v="1"/>
    <x v="2"/>
    <x v="2"/>
  </r>
  <r>
    <x v="16"/>
    <x v="0"/>
    <x v="0"/>
    <x v="8"/>
    <x v="0"/>
    <x v="4"/>
    <x v="2"/>
    <x v="3"/>
    <n v="5954"/>
    <n v="0.35"/>
    <n v="2083.9"/>
    <x v="0"/>
    <x v="0"/>
    <x v="3"/>
  </r>
  <r>
    <x v="8"/>
    <x v="2"/>
    <x v="0"/>
    <x v="14"/>
    <x v="1"/>
    <x v="4"/>
    <x v="2"/>
    <x v="4"/>
    <n v="2129"/>
    <n v="0.35"/>
    <n v="745.15"/>
    <x v="1"/>
    <x v="0"/>
    <x v="3"/>
  </r>
  <r>
    <x v="26"/>
    <x v="2"/>
    <x v="0"/>
    <x v="11"/>
    <x v="0"/>
    <x v="2"/>
    <x v="2"/>
    <x v="2"/>
    <n v="3303"/>
    <n v="0.35"/>
    <n v="1156.05"/>
    <x v="0"/>
    <x v="0"/>
    <x v="2"/>
  </r>
  <r>
    <x v="39"/>
    <x v="1"/>
    <x v="0"/>
    <x v="7"/>
    <x v="0"/>
    <x v="1"/>
    <x v="1"/>
    <x v="0"/>
    <n v="3379"/>
    <n v="0.35"/>
    <n v="1182.6500000000001"/>
    <x v="0"/>
    <x v="0"/>
    <x v="1"/>
  </r>
  <r>
    <x v="28"/>
    <x v="0"/>
    <x v="0"/>
    <x v="4"/>
    <x v="0"/>
    <x v="2"/>
    <x v="2"/>
    <x v="0"/>
    <n v="3657"/>
    <n v="0.3"/>
    <n v="1097.0999999999999"/>
    <x v="0"/>
    <x v="2"/>
    <x v="2"/>
  </r>
  <r>
    <x v="28"/>
    <x v="0"/>
    <x v="0"/>
    <x v="1"/>
    <x v="1"/>
    <x v="2"/>
    <x v="2"/>
    <x v="2"/>
    <n v="2163"/>
    <n v="0.4"/>
    <n v="865.2"/>
    <x v="0"/>
    <x v="1"/>
    <x v="2"/>
  </r>
  <r>
    <x v="39"/>
    <x v="1"/>
    <x v="0"/>
    <x v="12"/>
    <x v="1"/>
    <x v="3"/>
    <x v="0"/>
    <x v="2"/>
    <n v="4378"/>
    <n v="0.3"/>
    <n v="1313.4"/>
    <x v="1"/>
    <x v="1"/>
    <x v="3"/>
  </r>
  <r>
    <x v="40"/>
    <x v="1"/>
    <x v="0"/>
    <x v="9"/>
    <x v="0"/>
    <x v="2"/>
    <x v="2"/>
    <x v="1"/>
    <n v="2506"/>
    <n v="0.3"/>
    <n v="751.8"/>
    <x v="0"/>
    <x v="2"/>
    <x v="0"/>
  </r>
  <r>
    <x v="41"/>
    <x v="1"/>
    <x v="0"/>
    <x v="3"/>
    <x v="1"/>
    <x v="1"/>
    <x v="1"/>
    <x v="4"/>
    <n v="5040"/>
    <n v="0.35"/>
    <n v="1764"/>
    <x v="0"/>
    <x v="0"/>
    <x v="2"/>
  </r>
  <r>
    <x v="42"/>
    <x v="2"/>
    <x v="0"/>
    <x v="9"/>
    <x v="0"/>
    <x v="1"/>
    <x v="1"/>
    <x v="4"/>
    <n v="2299"/>
    <n v="0.25"/>
    <n v="574.75"/>
    <x v="1"/>
    <x v="0"/>
    <x v="0"/>
  </r>
  <r>
    <x v="43"/>
    <x v="2"/>
    <x v="0"/>
    <x v="2"/>
    <x v="0"/>
    <x v="3"/>
    <x v="0"/>
    <x v="4"/>
    <n v="3822"/>
    <n v="0.3"/>
    <n v="1146.5999999999999"/>
    <x v="0"/>
    <x v="1"/>
    <x v="3"/>
  </r>
  <r>
    <x v="32"/>
    <x v="2"/>
    <x v="0"/>
    <x v="9"/>
    <x v="0"/>
    <x v="3"/>
    <x v="0"/>
    <x v="4"/>
    <n v="2873"/>
    <n v="0.35"/>
    <n v="1005.55"/>
    <x v="0"/>
    <x v="2"/>
    <x v="3"/>
  </r>
  <r>
    <x v="28"/>
    <x v="0"/>
    <x v="0"/>
    <x v="13"/>
    <x v="1"/>
    <x v="0"/>
    <x v="0"/>
    <x v="1"/>
    <n v="5754"/>
    <n v="0.25"/>
    <n v="1438.5"/>
    <x v="0"/>
    <x v="1"/>
    <x v="0"/>
  </r>
  <r>
    <x v="44"/>
    <x v="0"/>
    <x v="0"/>
    <x v="2"/>
    <x v="1"/>
    <x v="2"/>
    <x v="2"/>
    <x v="1"/>
    <n v="2728"/>
    <n v="0.25"/>
    <n v="682"/>
    <x v="1"/>
    <x v="0"/>
    <x v="2"/>
  </r>
  <r>
    <x v="13"/>
    <x v="2"/>
    <x v="0"/>
    <x v="4"/>
    <x v="0"/>
    <x v="2"/>
    <x v="2"/>
    <x v="0"/>
    <n v="5039"/>
    <n v="0.35"/>
    <n v="1763.65"/>
    <x v="1"/>
    <x v="0"/>
    <x v="1"/>
  </r>
  <r>
    <x v="23"/>
    <x v="0"/>
    <x v="0"/>
    <x v="1"/>
    <x v="0"/>
    <x v="3"/>
    <x v="0"/>
    <x v="1"/>
    <n v="3851"/>
    <n v="0.3"/>
    <n v="1155.3"/>
    <x v="1"/>
    <x v="2"/>
    <x v="0"/>
  </r>
  <r>
    <x v="45"/>
    <x v="1"/>
    <x v="0"/>
    <x v="9"/>
    <x v="1"/>
    <x v="0"/>
    <x v="0"/>
    <x v="4"/>
    <n v="2656"/>
    <n v="0.25"/>
    <n v="664"/>
    <x v="0"/>
    <x v="1"/>
    <x v="3"/>
  </r>
  <r>
    <x v="46"/>
    <x v="1"/>
    <x v="0"/>
    <x v="6"/>
    <x v="0"/>
    <x v="3"/>
    <x v="0"/>
    <x v="2"/>
    <n v="3485"/>
    <n v="0.4"/>
    <n v="1394"/>
    <x v="1"/>
    <x v="0"/>
    <x v="1"/>
  </r>
  <r>
    <x v="4"/>
    <x v="0"/>
    <x v="0"/>
    <x v="4"/>
    <x v="0"/>
    <x v="2"/>
    <x v="2"/>
    <x v="3"/>
    <n v="4252"/>
    <n v="0.4"/>
    <n v="1700.8"/>
    <x v="0"/>
    <x v="1"/>
    <x v="0"/>
  </r>
  <r>
    <x v="28"/>
    <x v="0"/>
    <x v="0"/>
    <x v="11"/>
    <x v="1"/>
    <x v="3"/>
    <x v="0"/>
    <x v="3"/>
    <n v="2790"/>
    <n v="0.3"/>
    <n v="837"/>
    <x v="1"/>
    <x v="0"/>
    <x v="2"/>
  </r>
  <r>
    <x v="47"/>
    <x v="2"/>
    <x v="0"/>
    <x v="1"/>
    <x v="1"/>
    <x v="4"/>
    <x v="2"/>
    <x v="2"/>
    <n v="2458"/>
    <n v="0.3"/>
    <n v="737.4"/>
    <x v="1"/>
    <x v="2"/>
    <x v="1"/>
  </r>
  <r>
    <x v="29"/>
    <x v="2"/>
    <x v="0"/>
    <x v="8"/>
    <x v="1"/>
    <x v="0"/>
    <x v="0"/>
    <x v="3"/>
    <n v="4899"/>
    <n v="0.25"/>
    <n v="1224.75"/>
    <x v="1"/>
    <x v="0"/>
    <x v="3"/>
  </r>
  <r>
    <x v="0"/>
    <x v="0"/>
    <x v="0"/>
    <x v="1"/>
    <x v="0"/>
    <x v="4"/>
    <x v="2"/>
    <x v="3"/>
    <n v="5463"/>
    <n v="0.35"/>
    <n v="1912.05"/>
    <x v="0"/>
    <x v="2"/>
    <x v="2"/>
  </r>
  <r>
    <x v="48"/>
    <x v="0"/>
    <x v="0"/>
    <x v="9"/>
    <x v="0"/>
    <x v="2"/>
    <x v="2"/>
    <x v="4"/>
    <n v="4809"/>
    <n v="0.3"/>
    <n v="1442.7"/>
    <x v="1"/>
    <x v="2"/>
    <x v="3"/>
  </r>
  <r>
    <x v="22"/>
    <x v="0"/>
    <x v="0"/>
    <x v="11"/>
    <x v="1"/>
    <x v="4"/>
    <x v="2"/>
    <x v="1"/>
    <n v="2398"/>
    <n v="0.35"/>
    <n v="839.3"/>
    <x v="0"/>
    <x v="1"/>
    <x v="3"/>
  </r>
  <r>
    <x v="48"/>
    <x v="0"/>
    <x v="0"/>
    <x v="1"/>
    <x v="0"/>
    <x v="1"/>
    <x v="1"/>
    <x v="2"/>
    <n v="5518"/>
    <n v="0.25"/>
    <n v="1379.5"/>
    <x v="1"/>
    <x v="2"/>
    <x v="2"/>
  </r>
  <r>
    <x v="39"/>
    <x v="1"/>
    <x v="0"/>
    <x v="8"/>
    <x v="0"/>
    <x v="4"/>
    <x v="2"/>
    <x v="2"/>
    <n v="5806"/>
    <n v="0.25"/>
    <n v="1451.5"/>
    <x v="0"/>
    <x v="2"/>
    <x v="3"/>
  </r>
  <r>
    <x v="49"/>
    <x v="2"/>
    <x v="0"/>
    <x v="13"/>
    <x v="1"/>
    <x v="2"/>
    <x v="2"/>
    <x v="4"/>
    <n v="5245"/>
    <n v="0.3"/>
    <n v="1573.5"/>
    <x v="1"/>
    <x v="0"/>
    <x v="0"/>
  </r>
  <r>
    <x v="43"/>
    <x v="2"/>
    <x v="0"/>
    <x v="4"/>
    <x v="1"/>
    <x v="4"/>
    <x v="2"/>
    <x v="1"/>
    <n v="5235"/>
    <n v="0.4"/>
    <n v="2094"/>
    <x v="1"/>
    <x v="0"/>
    <x v="1"/>
  </r>
  <r>
    <x v="50"/>
    <x v="0"/>
    <x v="0"/>
    <x v="10"/>
    <x v="0"/>
    <x v="1"/>
    <x v="1"/>
    <x v="0"/>
    <n v="3064"/>
    <n v="0.3"/>
    <n v="919.2"/>
    <x v="0"/>
    <x v="2"/>
    <x v="1"/>
  </r>
  <r>
    <x v="43"/>
    <x v="2"/>
    <x v="0"/>
    <x v="14"/>
    <x v="0"/>
    <x v="0"/>
    <x v="0"/>
    <x v="0"/>
    <n v="4145"/>
    <n v="0.3"/>
    <n v="1243.5"/>
    <x v="1"/>
    <x v="0"/>
    <x v="2"/>
  </r>
  <r>
    <x v="37"/>
    <x v="1"/>
    <x v="0"/>
    <x v="5"/>
    <x v="1"/>
    <x v="2"/>
    <x v="2"/>
    <x v="2"/>
    <n v="4734"/>
    <n v="0.3"/>
    <n v="1420.2"/>
    <x v="0"/>
    <x v="0"/>
    <x v="2"/>
  </r>
  <r>
    <x v="16"/>
    <x v="0"/>
    <x v="0"/>
    <x v="11"/>
    <x v="1"/>
    <x v="0"/>
    <x v="0"/>
    <x v="4"/>
    <n v="5842"/>
    <n v="0.4"/>
    <n v="2336.8000000000002"/>
    <x v="1"/>
    <x v="0"/>
    <x v="3"/>
  </r>
  <r>
    <x v="51"/>
    <x v="1"/>
    <x v="0"/>
    <x v="3"/>
    <x v="1"/>
    <x v="0"/>
    <x v="0"/>
    <x v="4"/>
    <n v="3488"/>
    <n v="0.25"/>
    <n v="872"/>
    <x v="1"/>
    <x v="2"/>
    <x v="3"/>
  </r>
  <r>
    <x v="44"/>
    <x v="0"/>
    <x v="0"/>
    <x v="4"/>
    <x v="0"/>
    <x v="3"/>
    <x v="0"/>
    <x v="4"/>
    <n v="2925"/>
    <n v="0.4"/>
    <n v="1170"/>
    <x v="0"/>
    <x v="0"/>
    <x v="1"/>
  </r>
  <r>
    <x v="43"/>
    <x v="2"/>
    <x v="0"/>
    <x v="11"/>
    <x v="0"/>
    <x v="3"/>
    <x v="0"/>
    <x v="0"/>
    <n v="4829"/>
    <n v="0.3"/>
    <n v="1448.7"/>
    <x v="0"/>
    <x v="0"/>
    <x v="0"/>
  </r>
  <r>
    <x v="14"/>
    <x v="1"/>
    <x v="0"/>
    <x v="9"/>
    <x v="1"/>
    <x v="0"/>
    <x v="0"/>
    <x v="3"/>
    <n v="3630"/>
    <n v="0.35"/>
    <n v="1270.5"/>
    <x v="1"/>
    <x v="1"/>
    <x v="3"/>
  </r>
  <r>
    <x v="52"/>
    <x v="0"/>
    <x v="0"/>
    <x v="0"/>
    <x v="0"/>
    <x v="0"/>
    <x v="0"/>
    <x v="1"/>
    <n v="2436"/>
    <n v="0.4"/>
    <n v="974.4"/>
    <x v="0"/>
    <x v="0"/>
    <x v="3"/>
  </r>
  <r>
    <x v="53"/>
    <x v="2"/>
    <x v="0"/>
    <x v="13"/>
    <x v="1"/>
    <x v="1"/>
    <x v="1"/>
    <x v="2"/>
    <n v="5225"/>
    <n v="0.35"/>
    <n v="1828.75"/>
    <x v="0"/>
    <x v="0"/>
    <x v="3"/>
  </r>
  <r>
    <x v="17"/>
    <x v="0"/>
    <x v="0"/>
    <x v="8"/>
    <x v="0"/>
    <x v="0"/>
    <x v="0"/>
    <x v="1"/>
    <n v="4310"/>
    <n v="0.25"/>
    <n v="1077.5"/>
    <x v="0"/>
    <x v="2"/>
    <x v="3"/>
  </r>
  <r>
    <x v="35"/>
    <x v="1"/>
    <x v="0"/>
    <x v="10"/>
    <x v="1"/>
    <x v="1"/>
    <x v="1"/>
    <x v="3"/>
    <n v="2852"/>
    <n v="0.35"/>
    <n v="998.2"/>
    <x v="0"/>
    <x v="2"/>
    <x v="2"/>
  </r>
  <r>
    <x v="48"/>
    <x v="0"/>
    <x v="0"/>
    <x v="0"/>
    <x v="0"/>
    <x v="1"/>
    <x v="1"/>
    <x v="2"/>
    <n v="4012"/>
    <n v="0.25"/>
    <n v="1003"/>
    <x v="0"/>
    <x v="2"/>
    <x v="0"/>
  </r>
  <r>
    <x v="54"/>
    <x v="0"/>
    <x v="0"/>
    <x v="10"/>
    <x v="0"/>
    <x v="4"/>
    <x v="2"/>
    <x v="4"/>
    <n v="2330"/>
    <n v="0.25"/>
    <n v="582.5"/>
    <x v="1"/>
    <x v="1"/>
    <x v="1"/>
  </r>
  <r>
    <x v="42"/>
    <x v="2"/>
    <x v="0"/>
    <x v="3"/>
    <x v="0"/>
    <x v="0"/>
    <x v="0"/>
    <x v="0"/>
    <n v="3130"/>
    <n v="0.4"/>
    <n v="1252"/>
    <x v="0"/>
    <x v="0"/>
    <x v="0"/>
  </r>
  <r>
    <x v="15"/>
    <x v="1"/>
    <x v="0"/>
    <x v="2"/>
    <x v="0"/>
    <x v="2"/>
    <x v="2"/>
    <x v="2"/>
    <n v="5022"/>
    <n v="0.25"/>
    <n v="1255.5"/>
    <x v="1"/>
    <x v="1"/>
    <x v="0"/>
  </r>
  <r>
    <x v="55"/>
    <x v="0"/>
    <x v="0"/>
    <x v="13"/>
    <x v="0"/>
    <x v="0"/>
    <x v="0"/>
    <x v="1"/>
    <n v="5846"/>
    <n v="0.35"/>
    <n v="2046.1"/>
    <x v="1"/>
    <x v="1"/>
    <x v="3"/>
  </r>
  <r>
    <x v="50"/>
    <x v="0"/>
    <x v="0"/>
    <x v="12"/>
    <x v="1"/>
    <x v="0"/>
    <x v="0"/>
    <x v="2"/>
    <n v="3695"/>
    <n v="0.35"/>
    <n v="1293.25"/>
    <x v="0"/>
    <x v="1"/>
    <x v="0"/>
  </r>
  <r>
    <x v="56"/>
    <x v="1"/>
    <x v="0"/>
    <x v="8"/>
    <x v="1"/>
    <x v="2"/>
    <x v="2"/>
    <x v="4"/>
    <n v="5220"/>
    <n v="0.4"/>
    <n v="2088"/>
    <x v="1"/>
    <x v="2"/>
    <x v="1"/>
  </r>
  <r>
    <x v="29"/>
    <x v="2"/>
    <x v="0"/>
    <x v="13"/>
    <x v="0"/>
    <x v="2"/>
    <x v="2"/>
    <x v="1"/>
    <n v="3479"/>
    <n v="0.3"/>
    <n v="1043.7"/>
    <x v="0"/>
    <x v="0"/>
    <x v="3"/>
  </r>
  <r>
    <x v="12"/>
    <x v="1"/>
    <x v="0"/>
    <x v="3"/>
    <x v="0"/>
    <x v="3"/>
    <x v="0"/>
    <x v="3"/>
    <n v="2933"/>
    <n v="0.4"/>
    <n v="1173.2"/>
    <x v="1"/>
    <x v="0"/>
    <x v="0"/>
  </r>
  <r>
    <x v="57"/>
    <x v="2"/>
    <x v="0"/>
    <x v="2"/>
    <x v="1"/>
    <x v="4"/>
    <x v="2"/>
    <x v="4"/>
    <n v="4768"/>
    <n v="0.25"/>
    <n v="1192"/>
    <x v="1"/>
    <x v="2"/>
    <x v="0"/>
  </r>
  <r>
    <x v="58"/>
    <x v="2"/>
    <x v="0"/>
    <x v="7"/>
    <x v="1"/>
    <x v="0"/>
    <x v="0"/>
    <x v="4"/>
    <n v="4379"/>
    <n v="0.4"/>
    <n v="1751.6"/>
    <x v="1"/>
    <x v="2"/>
    <x v="0"/>
  </r>
  <r>
    <x v="38"/>
    <x v="1"/>
    <x v="0"/>
    <x v="13"/>
    <x v="0"/>
    <x v="1"/>
    <x v="1"/>
    <x v="2"/>
    <n v="5352"/>
    <n v="0.4"/>
    <n v="2140.8000000000002"/>
    <x v="0"/>
    <x v="0"/>
    <x v="2"/>
  </r>
  <r>
    <x v="44"/>
    <x v="0"/>
    <x v="0"/>
    <x v="7"/>
    <x v="1"/>
    <x v="2"/>
    <x v="2"/>
    <x v="3"/>
    <n v="4569"/>
    <n v="0.3"/>
    <n v="1370.7"/>
    <x v="0"/>
    <x v="2"/>
    <x v="0"/>
  </r>
  <r>
    <x v="59"/>
    <x v="0"/>
    <x v="0"/>
    <x v="5"/>
    <x v="0"/>
    <x v="3"/>
    <x v="0"/>
    <x v="0"/>
    <n v="2629"/>
    <n v="0.35"/>
    <n v="920.15"/>
    <x v="0"/>
    <x v="0"/>
    <x v="1"/>
  </r>
  <r>
    <x v="0"/>
    <x v="0"/>
    <x v="0"/>
    <x v="0"/>
    <x v="1"/>
    <x v="4"/>
    <x v="2"/>
    <x v="4"/>
    <n v="5727"/>
    <n v="0.25"/>
    <n v="1431.75"/>
    <x v="0"/>
    <x v="1"/>
    <x v="1"/>
  </r>
  <r>
    <x v="21"/>
    <x v="1"/>
    <x v="0"/>
    <x v="1"/>
    <x v="0"/>
    <x v="2"/>
    <x v="2"/>
    <x v="1"/>
    <n v="4185"/>
    <n v="0.25"/>
    <n v="1046.25"/>
    <x v="1"/>
    <x v="1"/>
    <x v="2"/>
  </r>
  <r>
    <x v="60"/>
    <x v="2"/>
    <x v="0"/>
    <x v="11"/>
    <x v="1"/>
    <x v="1"/>
    <x v="1"/>
    <x v="2"/>
    <n v="5200"/>
    <n v="0.25"/>
    <n v="1300"/>
    <x v="1"/>
    <x v="2"/>
    <x v="3"/>
  </r>
  <r>
    <x v="61"/>
    <x v="1"/>
    <x v="0"/>
    <x v="11"/>
    <x v="1"/>
    <x v="2"/>
    <x v="2"/>
    <x v="4"/>
    <n v="2118"/>
    <n v="0.4"/>
    <n v="847.2"/>
    <x v="1"/>
    <x v="2"/>
    <x v="2"/>
  </r>
  <r>
    <x v="28"/>
    <x v="0"/>
    <x v="0"/>
    <x v="14"/>
    <x v="0"/>
    <x v="2"/>
    <x v="2"/>
    <x v="3"/>
    <n v="3562"/>
    <n v="0.35"/>
    <n v="1246.7"/>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C6C3A2-FC24-4533-A110-75044EDF1382}" name="pt_top10" cacheId="36"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0">
  <location ref="A73:B104" firstHeaderRow="1" firstDataRow="1" firstDataCol="1"/>
  <pivotFields count="16">
    <pivotField numFmtId="164" showAll="0">
      <items count="63">
        <item x="56"/>
        <item x="45"/>
        <item x="15"/>
        <item x="39"/>
        <item x="61"/>
        <item x="7"/>
        <item x="14"/>
        <item x="38"/>
        <item x="36"/>
        <item x="6"/>
        <item x="2"/>
        <item x="40"/>
        <item x="35"/>
        <item x="41"/>
        <item x="37"/>
        <item x="12"/>
        <item x="1"/>
        <item x="9"/>
        <item x="25"/>
        <item x="19"/>
        <item x="21"/>
        <item x="46"/>
        <item x="27"/>
        <item x="51"/>
        <item x="24"/>
        <item x="13"/>
        <item x="18"/>
        <item x="31"/>
        <item x="3"/>
        <item x="42"/>
        <item x="30"/>
        <item x="29"/>
        <item x="11"/>
        <item x="60"/>
        <item x="53"/>
        <item x="43"/>
        <item x="49"/>
        <item x="57"/>
        <item x="8"/>
        <item x="47"/>
        <item x="32"/>
        <item x="58"/>
        <item x="26"/>
        <item x="34"/>
        <item x="5"/>
        <item x="10"/>
        <item x="33"/>
        <item x="4"/>
        <item x="59"/>
        <item x="52"/>
        <item x="48"/>
        <item x="28"/>
        <item x="23"/>
        <item x="44"/>
        <item x="20"/>
        <item x="16"/>
        <item x="22"/>
        <item x="55"/>
        <item x="54"/>
        <item x="17"/>
        <item x="0"/>
        <item x="50"/>
        <item t="default"/>
      </items>
    </pivotField>
    <pivotField showAll="0"/>
    <pivotField showAll="0"/>
    <pivotField axis="axisRow" showAll="0" measureFilter="1" sortType="descending">
      <items count="16">
        <item x="7"/>
        <item x="1"/>
        <item x="12"/>
        <item x="3"/>
        <item x="0"/>
        <item x="13"/>
        <item x="14"/>
        <item x="10"/>
        <item x="6"/>
        <item x="11"/>
        <item x="2"/>
        <item x="8"/>
        <item x="9"/>
        <item x="5"/>
        <item x="4"/>
        <item t="default"/>
      </items>
      <autoSortScope>
        <pivotArea dataOnly="0" outline="0" fieldPosition="0">
          <references count="1">
            <reference field="4294967294" count="1" selected="0">
              <x v="0"/>
            </reference>
          </references>
        </pivotArea>
      </autoSortScope>
    </pivotField>
    <pivotField showAll="0"/>
    <pivotField showAll="0">
      <items count="6">
        <item x="2"/>
        <item x="3"/>
        <item x="1"/>
        <item x="4"/>
        <item x="0"/>
        <item t="default"/>
      </items>
    </pivotField>
    <pivotField showAll="0"/>
    <pivotField showAll="0">
      <items count="6">
        <item x="2"/>
        <item x="0"/>
        <item x="3"/>
        <item x="1"/>
        <item x="4"/>
        <item t="default"/>
      </items>
    </pivotField>
    <pivotField dataField="1" showAll="0"/>
    <pivotField showAll="0"/>
    <pivotField showAll="0"/>
    <pivotField axis="axisRow" showAll="0">
      <items count="3">
        <item x="1"/>
        <item x="0"/>
        <item t="default"/>
      </items>
    </pivotField>
    <pivotField showAll="0">
      <items count="4">
        <item x="2"/>
        <item x="0"/>
        <item x="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3"/>
    <field x="11"/>
  </rowFields>
  <rowItems count="31">
    <i>
      <x v="9"/>
    </i>
    <i r="1">
      <x/>
    </i>
    <i r="1">
      <x v="1"/>
    </i>
    <i>
      <x v="14"/>
    </i>
    <i r="1">
      <x/>
    </i>
    <i r="1">
      <x v="1"/>
    </i>
    <i>
      <x v="10"/>
    </i>
    <i r="1">
      <x/>
    </i>
    <i r="1">
      <x v="1"/>
    </i>
    <i>
      <x v="1"/>
    </i>
    <i r="1">
      <x/>
    </i>
    <i r="1">
      <x v="1"/>
    </i>
    <i>
      <x/>
    </i>
    <i r="1">
      <x/>
    </i>
    <i r="1">
      <x v="1"/>
    </i>
    <i>
      <x v="5"/>
    </i>
    <i r="1">
      <x/>
    </i>
    <i r="1">
      <x v="1"/>
    </i>
    <i>
      <x v="11"/>
    </i>
    <i r="1">
      <x/>
    </i>
    <i r="1">
      <x v="1"/>
    </i>
    <i>
      <x v="3"/>
    </i>
    <i r="1">
      <x/>
    </i>
    <i r="1">
      <x v="1"/>
    </i>
    <i>
      <x v="12"/>
    </i>
    <i r="1">
      <x/>
    </i>
    <i r="1">
      <x v="1"/>
    </i>
    <i>
      <x v="7"/>
    </i>
    <i r="1">
      <x/>
    </i>
    <i r="1">
      <x v="1"/>
    </i>
    <i t="grand">
      <x/>
    </i>
  </rowItems>
  <colItems count="1">
    <i/>
  </colItems>
  <dataFields count="1">
    <dataField name="Sales" fld="8" baseField="0" baseItem="0"/>
  </dataFields>
  <chartFormats count="2">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465259-AF2D-4687-A500-FE8F72D30940}" name="pt_package" cacheId="36"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location ref="A65:C71" firstHeaderRow="1" firstDataRow="2" firstDataCol="1"/>
  <pivotFields count="16">
    <pivotField numFmtId="164" showAll="0">
      <items count="63">
        <item x="56"/>
        <item x="45"/>
        <item x="15"/>
        <item x="39"/>
        <item x="61"/>
        <item x="7"/>
        <item x="14"/>
        <item x="38"/>
        <item x="36"/>
        <item x="6"/>
        <item x="2"/>
        <item x="40"/>
        <item x="35"/>
        <item x="41"/>
        <item x="37"/>
        <item x="12"/>
        <item x="1"/>
        <item x="9"/>
        <item x="25"/>
        <item x="19"/>
        <item x="21"/>
        <item x="46"/>
        <item x="27"/>
        <item x="51"/>
        <item x="24"/>
        <item x="13"/>
        <item x="18"/>
        <item x="31"/>
        <item x="3"/>
        <item x="42"/>
        <item x="30"/>
        <item x="29"/>
        <item x="11"/>
        <item x="60"/>
        <item x="53"/>
        <item x="43"/>
        <item x="49"/>
        <item x="57"/>
        <item x="8"/>
        <item x="47"/>
        <item x="32"/>
        <item x="58"/>
        <item x="26"/>
        <item x="34"/>
        <item x="5"/>
        <item x="10"/>
        <item x="33"/>
        <item x="4"/>
        <item x="59"/>
        <item x="52"/>
        <item x="48"/>
        <item x="28"/>
        <item x="23"/>
        <item x="44"/>
        <item x="20"/>
        <item x="16"/>
        <item x="22"/>
        <item x="55"/>
        <item x="54"/>
        <item x="17"/>
        <item x="0"/>
        <item x="50"/>
        <item t="default"/>
      </items>
    </pivotField>
    <pivotField showAll="0"/>
    <pivotField showAll="0"/>
    <pivotField dataField="1" showAll="0"/>
    <pivotField showAll="0"/>
    <pivotField showAll="0">
      <items count="6">
        <item x="2"/>
        <item x="3"/>
        <item x="1"/>
        <item x="4"/>
        <item x="0"/>
        <item t="default"/>
      </items>
    </pivotField>
    <pivotField showAll="0"/>
    <pivotField showAll="0">
      <items count="6">
        <item x="2"/>
        <item x="0"/>
        <item x="3"/>
        <item x="1"/>
        <item x="4"/>
        <item t="default"/>
      </items>
    </pivotField>
    <pivotField dataField="1" showAll="0"/>
    <pivotField showAll="0"/>
    <pivotField showAll="0"/>
    <pivotField showAll="0">
      <items count="3">
        <item x="1"/>
        <item x="0"/>
        <item t="default"/>
      </items>
    </pivotField>
    <pivotField showAll="0"/>
    <pivotField axis="axisRow" showAll="0">
      <items count="5">
        <item x="1"/>
        <item x="2"/>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5">
    <i>
      <x/>
    </i>
    <i>
      <x v="1"/>
    </i>
    <i>
      <x v="2"/>
    </i>
    <i>
      <x v="3"/>
    </i>
    <i t="grand">
      <x/>
    </i>
  </rowItems>
  <colFields count="1">
    <field x="-2"/>
  </colFields>
  <colItems count="2">
    <i>
      <x/>
    </i>
    <i i="1">
      <x v="1"/>
    </i>
  </colItems>
  <dataFields count="2">
    <dataField name="Sales" fld="8" baseField="0" baseItem="0"/>
    <dataField name="Orders" fld="3" subtotal="count" baseField="0" baseItem="0"/>
  </dataFields>
  <chartFormats count="6">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13" count="1" selected="0">
            <x v="1"/>
          </reference>
        </references>
      </pivotArea>
    </chartFormat>
    <chartFormat chart="2" format="7">
      <pivotArea type="data" outline="0" fieldPosition="0">
        <references count="2">
          <reference field="4294967294" count="1" selected="0">
            <x v="0"/>
          </reference>
          <reference field="13" count="1" selected="0">
            <x v="2"/>
          </reference>
        </references>
      </pivotArea>
    </chartFormat>
    <chartFormat chart="2" format="8">
      <pivotArea type="data" outline="0" fieldPosition="0">
        <references count="2">
          <reference field="4294967294" count="1" selected="0">
            <x v="0"/>
          </reference>
          <reference field="13" count="1" selected="0">
            <x v="3"/>
          </reference>
        </references>
      </pivotArea>
    </chartFormat>
    <chartFormat chart="2" format="9">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53E9AD-61B1-44F0-B723-C1D2E53FAD25}" name="pt_source" cacheId="36"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location ref="A57:D62" firstHeaderRow="1" firstDataRow="2" firstDataCol="1"/>
  <pivotFields count="16">
    <pivotField numFmtId="164" showAll="0">
      <items count="63">
        <item x="56"/>
        <item x="45"/>
        <item x="15"/>
        <item x="39"/>
        <item x="61"/>
        <item x="7"/>
        <item x="14"/>
        <item x="38"/>
        <item x="36"/>
        <item x="6"/>
        <item x="2"/>
        <item x="40"/>
        <item x="35"/>
        <item x="41"/>
        <item x="37"/>
        <item x="12"/>
        <item x="1"/>
        <item x="9"/>
        <item x="25"/>
        <item x="19"/>
        <item x="21"/>
        <item x="46"/>
        <item x="27"/>
        <item x="51"/>
        <item x="24"/>
        <item x="13"/>
        <item x="18"/>
        <item x="31"/>
        <item x="3"/>
        <item x="42"/>
        <item x="30"/>
        <item x="29"/>
        <item x="11"/>
        <item x="60"/>
        <item x="53"/>
        <item x="43"/>
        <item x="49"/>
        <item x="57"/>
        <item x="8"/>
        <item x="47"/>
        <item x="32"/>
        <item x="58"/>
        <item x="26"/>
        <item x="34"/>
        <item x="5"/>
        <item x="10"/>
        <item x="33"/>
        <item x="4"/>
        <item x="59"/>
        <item x="52"/>
        <item x="48"/>
        <item x="28"/>
        <item x="23"/>
        <item x="44"/>
        <item x="20"/>
        <item x="16"/>
        <item x="22"/>
        <item x="55"/>
        <item x="54"/>
        <item x="17"/>
        <item x="0"/>
        <item x="50"/>
        <item t="default"/>
      </items>
    </pivotField>
    <pivotField showAll="0"/>
    <pivotField showAll="0"/>
    <pivotField dataField="1" showAll="0"/>
    <pivotField showAll="0"/>
    <pivotField showAll="0">
      <items count="6">
        <item x="2"/>
        <item x="3"/>
        <item x="1"/>
        <item x="4"/>
        <item x="0"/>
        <item t="default"/>
      </items>
    </pivotField>
    <pivotField showAll="0"/>
    <pivotField showAll="0">
      <items count="6">
        <item x="2"/>
        <item x="0"/>
        <item x="3"/>
        <item x="1"/>
        <item x="4"/>
        <item t="default"/>
      </items>
    </pivotField>
    <pivotField dataField="1" showAll="0"/>
    <pivotField dataField="1" showAll="0"/>
    <pivotField showAll="0"/>
    <pivotField showAll="0">
      <items count="3">
        <item x="1"/>
        <item x="0"/>
        <item t="default"/>
      </items>
    </pivotField>
    <pivotField axis="axisRow" showAll="0">
      <items count="4">
        <item x="2"/>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Fields count="1">
    <field x="-2"/>
  </colFields>
  <colItems count="3">
    <i>
      <x/>
    </i>
    <i i="1">
      <x v="1"/>
    </i>
    <i i="2">
      <x v="2"/>
    </i>
  </colItems>
  <dataFields count="3">
    <dataField name="Orders" fld="3" subtotal="count" baseField="0" baseItem="0"/>
    <dataField name="Sales" fld="8" baseField="0" baseItem="0"/>
    <dataField name="Avg Margin %" fld="9" subtotal="average"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78AC88-22EC-4EB1-A739-967183913618}" name="pt_city" cacheId="36"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6">
  <location ref="A49:C56" firstHeaderRow="1" firstDataRow="2" firstDataCol="1"/>
  <pivotFields count="16">
    <pivotField numFmtId="164" showAll="0">
      <items count="63">
        <item x="56"/>
        <item x="45"/>
        <item x="15"/>
        <item x="39"/>
        <item x="61"/>
        <item x="7"/>
        <item x="14"/>
        <item x="38"/>
        <item x="36"/>
        <item x="6"/>
        <item x="2"/>
        <item x="40"/>
        <item x="35"/>
        <item x="41"/>
        <item x="37"/>
        <item x="12"/>
        <item x="1"/>
        <item x="9"/>
        <item x="25"/>
        <item x="19"/>
        <item x="21"/>
        <item x="46"/>
        <item x="27"/>
        <item x="51"/>
        <item x="24"/>
        <item x="13"/>
        <item x="18"/>
        <item x="31"/>
        <item x="3"/>
        <item x="42"/>
        <item x="30"/>
        <item x="29"/>
        <item x="11"/>
        <item x="60"/>
        <item x="53"/>
        <item x="43"/>
        <item x="49"/>
        <item x="57"/>
        <item x="8"/>
        <item x="47"/>
        <item x="32"/>
        <item x="58"/>
        <item x="26"/>
        <item x="34"/>
        <item x="5"/>
        <item x="10"/>
        <item x="33"/>
        <item x="4"/>
        <item x="59"/>
        <item x="52"/>
        <item x="48"/>
        <item x="28"/>
        <item x="23"/>
        <item x="44"/>
        <item x="20"/>
        <item x="16"/>
        <item x="22"/>
        <item x="55"/>
        <item x="54"/>
        <item x="17"/>
        <item x="0"/>
        <item x="50"/>
        <item t="default"/>
      </items>
    </pivotField>
    <pivotField showAll="0"/>
    <pivotField showAll="0"/>
    <pivotField dataField="1" showAll="0"/>
    <pivotField showAll="0"/>
    <pivotField showAll="0">
      <items count="6">
        <item x="2"/>
        <item x="3"/>
        <item x="1"/>
        <item x="4"/>
        <item x="0"/>
        <item t="default"/>
      </items>
    </pivotField>
    <pivotField showAll="0"/>
    <pivotField axis="axisRow" showAll="0">
      <items count="6">
        <item x="2"/>
        <item x="0"/>
        <item x="3"/>
        <item x="1"/>
        <item x="4"/>
        <item t="default"/>
      </items>
    </pivotField>
    <pivotField dataField="1" showAll="0"/>
    <pivotField showAll="0"/>
    <pivotField showAll="0"/>
    <pivotField showAll="0">
      <items count="3">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Fields count="1">
    <field x="-2"/>
  </colFields>
  <colItems count="2">
    <i>
      <x/>
    </i>
    <i i="1">
      <x v="1"/>
    </i>
  </colItems>
  <dataFields count="2">
    <dataField name="Sales" fld="8" baseField="0" baseItem="0"/>
    <dataField name="Orders" fld="3"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316B09-B53A-43EA-BACF-9E9020D4DFD3}" name="pt_department" cacheId="36"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
  <location ref="A41:C46" firstHeaderRow="1" firstDataRow="2" firstDataCol="1"/>
  <pivotFields count="16">
    <pivotField numFmtId="164" showAll="0">
      <items count="63">
        <item x="56"/>
        <item x="45"/>
        <item x="15"/>
        <item x="39"/>
        <item x="61"/>
        <item x="7"/>
        <item x="14"/>
        <item x="38"/>
        <item x="36"/>
        <item x="6"/>
        <item x="2"/>
        <item x="40"/>
        <item x="35"/>
        <item x="41"/>
        <item x="37"/>
        <item x="12"/>
        <item x="1"/>
        <item x="9"/>
        <item x="25"/>
        <item x="19"/>
        <item x="21"/>
        <item x="46"/>
        <item x="27"/>
        <item x="51"/>
        <item x="24"/>
        <item x="13"/>
        <item x="18"/>
        <item x="31"/>
        <item x="3"/>
        <item x="42"/>
        <item x="30"/>
        <item x="29"/>
        <item x="11"/>
        <item x="60"/>
        <item x="53"/>
        <item x="43"/>
        <item x="49"/>
        <item x="57"/>
        <item x="8"/>
        <item x="47"/>
        <item x="32"/>
        <item x="58"/>
        <item x="26"/>
        <item x="34"/>
        <item x="5"/>
        <item x="10"/>
        <item x="33"/>
        <item x="4"/>
        <item x="59"/>
        <item x="52"/>
        <item x="48"/>
        <item x="28"/>
        <item x="23"/>
        <item x="44"/>
        <item x="20"/>
        <item x="16"/>
        <item x="22"/>
        <item x="55"/>
        <item x="54"/>
        <item x="17"/>
        <item x="0"/>
        <item x="50"/>
        <item t="default"/>
      </items>
    </pivotField>
    <pivotField showAll="0"/>
    <pivotField showAll="0"/>
    <pivotField showAll="0"/>
    <pivotField showAll="0"/>
    <pivotField showAll="0">
      <items count="6">
        <item x="2"/>
        <item x="3"/>
        <item x="1"/>
        <item x="4"/>
        <item x="0"/>
        <item t="default"/>
      </items>
    </pivotField>
    <pivotField axis="axisRow" showAll="0">
      <items count="4">
        <item x="1"/>
        <item x="0"/>
        <item x="2"/>
        <item t="default"/>
      </items>
    </pivotField>
    <pivotField showAll="0">
      <items count="6">
        <item x="2"/>
        <item x="0"/>
        <item x="3"/>
        <item x="1"/>
        <item x="4"/>
        <item t="default"/>
      </items>
    </pivotField>
    <pivotField dataField="1" showAll="0"/>
    <pivotField dataField="1" showAll="0"/>
    <pivotField showAll="0"/>
    <pivotField showAll="0">
      <items count="3">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Fields count="1">
    <field x="-2"/>
  </colFields>
  <colItems count="2">
    <i>
      <x/>
    </i>
    <i i="1">
      <x v="1"/>
    </i>
  </colItems>
  <dataFields count="2">
    <dataField name="Sales" fld="8" baseField="0" baseItem="0"/>
    <dataField name="Avg Margin %" fld="9" subtotal="average"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E877AD-F079-4D4D-89AB-48DD2577D483}" name="pt_service" cacheId="36"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location ref="A33:C40" firstHeaderRow="1" firstDataRow="2" firstDataCol="1"/>
  <pivotFields count="16">
    <pivotField numFmtId="164" showAll="0">
      <items count="63">
        <item x="56"/>
        <item x="45"/>
        <item x="15"/>
        <item x="39"/>
        <item x="61"/>
        <item x="7"/>
        <item x="14"/>
        <item x="38"/>
        <item x="36"/>
        <item x="6"/>
        <item x="2"/>
        <item x="40"/>
        <item x="35"/>
        <item x="41"/>
        <item x="37"/>
        <item x="12"/>
        <item x="1"/>
        <item x="9"/>
        <item x="25"/>
        <item x="19"/>
        <item x="21"/>
        <item x="46"/>
        <item x="27"/>
        <item x="51"/>
        <item x="24"/>
        <item x="13"/>
        <item x="18"/>
        <item x="31"/>
        <item x="3"/>
        <item x="42"/>
        <item x="30"/>
        <item x="29"/>
        <item x="11"/>
        <item x="60"/>
        <item x="53"/>
        <item x="43"/>
        <item x="49"/>
        <item x="57"/>
        <item x="8"/>
        <item x="47"/>
        <item x="32"/>
        <item x="58"/>
        <item x="26"/>
        <item x="34"/>
        <item x="5"/>
        <item x="10"/>
        <item x="33"/>
        <item x="4"/>
        <item x="59"/>
        <item x="52"/>
        <item x="48"/>
        <item x="28"/>
        <item x="23"/>
        <item x="44"/>
        <item x="20"/>
        <item x="16"/>
        <item x="22"/>
        <item x="55"/>
        <item x="54"/>
        <item x="17"/>
        <item x="0"/>
        <item x="50"/>
        <item t="default"/>
      </items>
    </pivotField>
    <pivotField showAll="0"/>
    <pivotField showAll="0"/>
    <pivotField showAll="0"/>
    <pivotField showAll="0"/>
    <pivotField axis="axisRow" showAll="0">
      <items count="6">
        <item x="2"/>
        <item x="3"/>
        <item x="1"/>
        <item x="4"/>
        <item x="0"/>
        <item t="default"/>
      </items>
    </pivotField>
    <pivotField showAll="0"/>
    <pivotField showAll="0">
      <items count="6">
        <item x="2"/>
        <item x="0"/>
        <item x="3"/>
        <item x="1"/>
        <item x="4"/>
        <item t="default"/>
      </items>
    </pivotField>
    <pivotField dataField="1" showAll="0"/>
    <pivotField showAll="0"/>
    <pivotField dataField="1" showAll="0"/>
    <pivotField showAll="0">
      <items count="3">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Fields count="1">
    <field x="-2"/>
  </colFields>
  <colItems count="2">
    <i>
      <x/>
    </i>
    <i i="1">
      <x v="1"/>
    </i>
  </colItems>
  <dataFields count="2">
    <dataField name="Sales" fld="8" baseField="0" baseItem="0"/>
    <dataField name="Margin" fld="1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B4805D-1CC7-4469-8C99-F38BF2CD071A}" name="pt_customer_type" cacheId="36"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4">
  <location ref="A25:C29" firstHeaderRow="1" firstDataRow="2" firstDataCol="1"/>
  <pivotFields count="16">
    <pivotField numFmtId="164" showAll="0">
      <items count="63">
        <item x="56"/>
        <item x="45"/>
        <item x="15"/>
        <item x="39"/>
        <item x="61"/>
        <item x="7"/>
        <item x="14"/>
        <item x="38"/>
        <item x="36"/>
        <item x="6"/>
        <item x="2"/>
        <item x="40"/>
        <item x="35"/>
        <item x="41"/>
        <item x="37"/>
        <item x="12"/>
        <item x="1"/>
        <item x="9"/>
        <item x="25"/>
        <item x="19"/>
        <item x="21"/>
        <item x="46"/>
        <item x="27"/>
        <item x="51"/>
        <item x="24"/>
        <item x="13"/>
        <item x="18"/>
        <item x="31"/>
        <item x="3"/>
        <item x="42"/>
        <item x="30"/>
        <item x="29"/>
        <item x="11"/>
        <item x="60"/>
        <item x="53"/>
        <item x="43"/>
        <item x="49"/>
        <item x="57"/>
        <item x="8"/>
        <item x="47"/>
        <item x="32"/>
        <item x="58"/>
        <item x="26"/>
        <item x="34"/>
        <item x="5"/>
        <item x="10"/>
        <item x="33"/>
        <item x="4"/>
        <item x="59"/>
        <item x="52"/>
        <item x="48"/>
        <item x="28"/>
        <item x="23"/>
        <item x="44"/>
        <item x="20"/>
        <item x="16"/>
        <item x="22"/>
        <item x="55"/>
        <item x="54"/>
        <item x="17"/>
        <item x="0"/>
        <item x="50"/>
        <item t="default"/>
      </items>
    </pivotField>
    <pivotField showAll="0"/>
    <pivotField showAll="0"/>
    <pivotField showAll="0"/>
    <pivotField axis="axisRow" showAll="0">
      <items count="3">
        <item x="1"/>
        <item x="0"/>
        <item t="default"/>
      </items>
    </pivotField>
    <pivotField showAll="0">
      <items count="6">
        <item x="2"/>
        <item x="3"/>
        <item x="1"/>
        <item x="4"/>
        <item x="0"/>
        <item t="default"/>
      </items>
    </pivotField>
    <pivotField showAll="0"/>
    <pivotField showAll="0">
      <items count="6">
        <item x="2"/>
        <item x="0"/>
        <item x="3"/>
        <item x="1"/>
        <item x="4"/>
        <item t="default"/>
      </items>
    </pivotField>
    <pivotField dataField="1" showAll="0"/>
    <pivotField dataField="1" showAll="0"/>
    <pivotField showAll="0"/>
    <pivotField showAll="0">
      <items count="3">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Fields count="1">
    <field x="-2"/>
  </colFields>
  <colItems count="2">
    <i>
      <x/>
    </i>
    <i i="1">
      <x v="1"/>
    </i>
  </colItems>
  <dataFields count="2">
    <dataField name="Sales" fld="8" baseField="0" baseItem="0"/>
    <dataField name="Avg Margin %" fld="9" subtotal="average"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FC99E9-AE89-4AFA-A931-4026217EB0C6}" name="pt_sale_type" cacheId="36"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
  <location ref="A17:B20" firstHeaderRow="1" firstDataRow="1" firstDataCol="1"/>
  <pivotFields count="16">
    <pivotField numFmtId="164" showAll="0">
      <items count="63">
        <item x="56"/>
        <item x="45"/>
        <item x="15"/>
        <item x="39"/>
        <item x="61"/>
        <item x="7"/>
        <item x="14"/>
        <item x="38"/>
        <item x="36"/>
        <item x="6"/>
        <item x="2"/>
        <item x="40"/>
        <item x="35"/>
        <item x="41"/>
        <item x="37"/>
        <item x="12"/>
        <item x="1"/>
        <item x="9"/>
        <item x="25"/>
        <item x="19"/>
        <item x="21"/>
        <item x="46"/>
        <item x="27"/>
        <item x="51"/>
        <item x="24"/>
        <item x="13"/>
        <item x="18"/>
        <item x="31"/>
        <item x="3"/>
        <item x="42"/>
        <item x="30"/>
        <item x="29"/>
        <item x="11"/>
        <item x="60"/>
        <item x="53"/>
        <item x="43"/>
        <item x="49"/>
        <item x="57"/>
        <item x="8"/>
        <item x="47"/>
        <item x="32"/>
        <item x="58"/>
        <item x="26"/>
        <item x="34"/>
        <item x="5"/>
        <item x="10"/>
        <item x="33"/>
        <item x="4"/>
        <item x="59"/>
        <item x="52"/>
        <item x="48"/>
        <item x="28"/>
        <item x="23"/>
        <item x="44"/>
        <item x="20"/>
        <item x="16"/>
        <item x="22"/>
        <item x="55"/>
        <item x="54"/>
        <item x="17"/>
        <item x="0"/>
        <item x="50"/>
        <item t="default"/>
      </items>
    </pivotField>
    <pivotField showAll="0"/>
    <pivotField showAll="0"/>
    <pivotField showAll="0"/>
    <pivotField showAll="0"/>
    <pivotField showAll="0">
      <items count="6">
        <item x="2"/>
        <item x="3"/>
        <item x="1"/>
        <item x="4"/>
        <item x="0"/>
        <item t="default"/>
      </items>
    </pivotField>
    <pivotField showAll="0"/>
    <pivotField showAll="0">
      <items count="6">
        <item x="2"/>
        <item x="0"/>
        <item x="3"/>
        <item x="1"/>
        <item x="4"/>
        <item t="default"/>
      </items>
    </pivotField>
    <pivotField dataField="1" showAll="0"/>
    <pivotField showAll="0"/>
    <pivotField showAll="0"/>
    <pivotField axis="axisRow" showAll="0">
      <items count="3">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3">
    <i>
      <x/>
    </i>
    <i>
      <x v="1"/>
    </i>
    <i t="grand">
      <x/>
    </i>
  </rowItems>
  <colItems count="1">
    <i/>
  </colItems>
  <dataFields count="1">
    <dataField name="Sales" fld="8"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78FA3C-EF34-4AAC-98BD-01621F9F0C85}" name="pt_sales_trend" cacheId="36"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
  <location ref="A7:C15" firstHeaderRow="1" firstDataRow="2" firstDataCol="1"/>
  <pivotFields count="16">
    <pivotField numFmtId="164" showAll="0">
      <items count="63">
        <item x="56"/>
        <item x="45"/>
        <item x="15"/>
        <item x="39"/>
        <item x="61"/>
        <item x="7"/>
        <item x="14"/>
        <item x="38"/>
        <item x="36"/>
        <item x="6"/>
        <item x="2"/>
        <item x="40"/>
        <item x="35"/>
        <item x="41"/>
        <item x="37"/>
        <item x="12"/>
        <item x="1"/>
        <item x="9"/>
        <item x="25"/>
        <item x="19"/>
        <item x="21"/>
        <item x="46"/>
        <item x="27"/>
        <item x="51"/>
        <item x="24"/>
        <item x="13"/>
        <item x="18"/>
        <item x="31"/>
        <item x="3"/>
        <item x="42"/>
        <item x="30"/>
        <item x="29"/>
        <item x="11"/>
        <item x="60"/>
        <item x="53"/>
        <item x="43"/>
        <item x="49"/>
        <item x="57"/>
        <item x="8"/>
        <item x="47"/>
        <item x="32"/>
        <item x="58"/>
        <item x="26"/>
        <item x="34"/>
        <item x="5"/>
        <item x="10"/>
        <item x="33"/>
        <item x="4"/>
        <item x="59"/>
        <item x="52"/>
        <item x="48"/>
        <item x="28"/>
        <item x="23"/>
        <item x="44"/>
        <item x="20"/>
        <item x="16"/>
        <item x="22"/>
        <item x="55"/>
        <item x="54"/>
        <item x="17"/>
        <item x="0"/>
        <item x="50"/>
        <item t="default"/>
      </items>
    </pivotField>
    <pivotField axis="axisRow" showAll="0">
      <items count="4">
        <item x="1"/>
        <item x="2"/>
        <item x="0"/>
        <item t="default"/>
      </items>
    </pivotField>
    <pivotField axis="axisRow" showAll="0">
      <items count="2">
        <item x="0"/>
        <item t="default"/>
      </items>
    </pivotField>
    <pivotField showAll="0"/>
    <pivotField showAll="0"/>
    <pivotField showAll="0">
      <items count="6">
        <item x="2"/>
        <item x="3"/>
        <item x="1"/>
        <item x="4"/>
        <item x="0"/>
        <item t="default"/>
      </items>
    </pivotField>
    <pivotField showAll="0"/>
    <pivotField showAll="0">
      <items count="6">
        <item x="2"/>
        <item x="0"/>
        <item x="3"/>
        <item x="1"/>
        <item x="4"/>
        <item t="default"/>
      </items>
    </pivotField>
    <pivotField dataField="1" showAll="0"/>
    <pivotField showAll="0"/>
    <pivotField dataField="1" showAll="0"/>
    <pivotField showAll="0">
      <items count="3">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
    <field x="2"/>
  </rowFields>
  <rowItems count="7">
    <i>
      <x/>
    </i>
    <i r="1">
      <x/>
    </i>
    <i>
      <x v="1"/>
    </i>
    <i r="1">
      <x/>
    </i>
    <i>
      <x v="2"/>
    </i>
    <i r="1">
      <x/>
    </i>
    <i t="grand">
      <x/>
    </i>
  </rowItems>
  <colFields count="1">
    <field x="-2"/>
  </colFields>
  <colItems count="2">
    <i>
      <x/>
    </i>
    <i i="1">
      <x v="1"/>
    </i>
  </colItems>
  <dataFields count="2">
    <dataField name="Sales" fld="8" baseField="0" baseItem="0"/>
    <dataField name="Margin" fld="1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E136570-5D6A-41CC-9436-7AD92966B23D}" name="pt_kpi" cacheId="36"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1:C3" firstHeaderRow="1" firstDataRow="2" firstDataCol="0"/>
  <pivotFields count="16">
    <pivotField numFmtId="164" showAll="0">
      <items count="63">
        <item x="56"/>
        <item x="45"/>
        <item x="15"/>
        <item x="39"/>
        <item x="61"/>
        <item x="7"/>
        <item x="14"/>
        <item x="38"/>
        <item x="36"/>
        <item x="6"/>
        <item x="2"/>
        <item x="40"/>
        <item x="35"/>
        <item x="41"/>
        <item x="37"/>
        <item x="12"/>
        <item x="1"/>
        <item x="9"/>
        <item x="25"/>
        <item x="19"/>
        <item x="21"/>
        <item x="46"/>
        <item x="27"/>
        <item x="51"/>
        <item x="24"/>
        <item x="13"/>
        <item x="18"/>
        <item x="31"/>
        <item x="3"/>
        <item x="42"/>
        <item x="30"/>
        <item x="29"/>
        <item x="11"/>
        <item x="60"/>
        <item x="53"/>
        <item x="43"/>
        <item x="49"/>
        <item x="57"/>
        <item x="8"/>
        <item x="47"/>
        <item x="32"/>
        <item x="58"/>
        <item x="26"/>
        <item x="34"/>
        <item x="5"/>
        <item x="10"/>
        <item x="33"/>
        <item x="4"/>
        <item x="59"/>
        <item x="52"/>
        <item x="48"/>
        <item x="28"/>
        <item x="23"/>
        <item x="44"/>
        <item x="20"/>
        <item x="16"/>
        <item x="22"/>
        <item x="55"/>
        <item x="54"/>
        <item x="17"/>
        <item x="0"/>
        <item x="50"/>
        <item t="default"/>
      </items>
    </pivotField>
    <pivotField showAll="0"/>
    <pivotField showAll="0"/>
    <pivotField dataField="1" showAll="0"/>
    <pivotField showAll="0"/>
    <pivotField showAll="0">
      <items count="6">
        <item x="2"/>
        <item x="3"/>
        <item x="1"/>
        <item x="4"/>
        <item x="0"/>
        <item t="default"/>
      </items>
    </pivotField>
    <pivotField showAll="0"/>
    <pivotField showAll="0">
      <items count="6">
        <item x="2"/>
        <item x="0"/>
        <item x="3"/>
        <item x="1"/>
        <item x="4"/>
        <item t="default"/>
      </items>
    </pivotField>
    <pivotField dataField="1" showAll="0"/>
    <pivotField showAll="0"/>
    <pivotField dataField="1" showAll="0"/>
    <pivotField showAll="0">
      <items count="3">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3">
    <i>
      <x/>
    </i>
    <i i="1">
      <x v="1"/>
    </i>
    <i i="2">
      <x v="2"/>
    </i>
  </colItems>
  <dataFields count="3">
    <dataField name="Total Sales" fld="8" baseField="0" baseItem="0"/>
    <dataField name="Total Margin" fld="10" baseField="0" baseItem="0"/>
    <dataField name="Total Orders" fld="3"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7E02DE2-BBD1-4ACC-B6D0-96671B79FAFA}" sourceName="City">
  <pivotTables>
    <pivotTable tabId="2" name="pt_kpi"/>
    <pivotTable tabId="2" name="pt_city"/>
    <pivotTable tabId="2" name="pt_customer_type"/>
    <pivotTable tabId="2" name="pt_department"/>
    <pivotTable tabId="2" name="pt_package"/>
    <pivotTable tabId="2" name="pt_sale_type"/>
    <pivotTable tabId="2" name="pt_sales_trend"/>
    <pivotTable tabId="2" name="pt_service"/>
    <pivotTable tabId="2" name="pt_source"/>
    <pivotTable tabId="2" name="pt_top10"/>
  </pivotTables>
  <data>
    <tabular pivotCacheId="761701081">
      <items count="5">
        <i x="2" s="1"/>
        <i x="0"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 xr10:uid="{14A35BDB-0847-4DDA-A911-23FD1E81500A}" sourceName="Service">
  <pivotTables>
    <pivotTable tabId="2" name="pt_kpi"/>
    <pivotTable tabId="2" name="pt_city"/>
    <pivotTable tabId="2" name="pt_customer_type"/>
    <pivotTable tabId="2" name="pt_department"/>
    <pivotTable tabId="2" name="pt_package"/>
    <pivotTable tabId="2" name="pt_sale_type"/>
    <pivotTable tabId="2" name="pt_sales_trend"/>
    <pivotTable tabId="2" name="pt_service"/>
    <pivotTable tabId="2" name="pt_source"/>
    <pivotTable tabId="2" name="pt_top10"/>
  </pivotTables>
  <data>
    <tabular pivotCacheId="761701081">
      <items count="5">
        <i x="2" s="1"/>
        <i x="3" s="1"/>
        <i x="1"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82090E25-A562-48A5-8D01-8C3623144834}" sourceName="Sale Type">
  <pivotTables>
    <pivotTable tabId="2" name="pt_kpi"/>
    <pivotTable tabId="2" name="pt_city"/>
    <pivotTable tabId="2" name="pt_customer_type"/>
    <pivotTable tabId="2" name="pt_department"/>
    <pivotTable tabId="2" name="pt_package"/>
    <pivotTable tabId="2" name="pt_sale_type"/>
    <pivotTable tabId="2" name="pt_sales_trend"/>
    <pivotTable tabId="2" name="pt_service"/>
    <pivotTable tabId="2" name="pt_source"/>
    <pivotTable tabId="2" name="pt_top10"/>
  </pivotTables>
  <data>
    <tabular pivotCacheId="76170108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ity" xr10:uid="{D48652A5-061D-4A89-B0C1-4492136FA9AE}" cache="Slicer_City" caption="City" rowHeight="234950"/>
  <slicer name="sService" xr10:uid="{1B02EC29-A0DD-4B48-AB23-A86C8D1FE00D}" cache="Slicer_Service" caption="Service" rowHeight="234950"/>
  <slicer name="sSale" xr10:uid="{7728C048-8666-4ABE-8F78-707CA3469A04}" cache="Slicer_Sale_Type" caption="Sale Type"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908A08-19E5-473B-8DE9-18DE04DC9B22}" name="tblSales" displayName="tblSales" ref="A1:N121" totalsRowShown="0" headerRowDxfId="15" dataDxfId="14">
  <tableColumns count="14">
    <tableColumn id="1" xr3:uid="{976B53F5-62BA-42B2-A3F4-D6314263D341}" name="Date" dataDxfId="0"/>
    <tableColumn id="14" xr3:uid="{33D33F60-2A98-4DED-AB53-8818A6A1027F}" name="Month" dataDxfId="1">
      <calculatedColumnFormula>TEXT(tblSales[[#This Row],[Date]],"MMMM")</calculatedColumnFormula>
    </tableColumn>
    <tableColumn id="13" xr3:uid="{1BD2E201-CBCE-422B-A579-1F77A0D5AF4C}" name="Year" dataDxfId="13">
      <calculatedColumnFormula>TEXT(tblSales[[#This Row],[Date]],"YYYY")</calculatedColumnFormula>
    </tableColumn>
    <tableColumn id="2" xr3:uid="{F78EC968-0C5F-42B2-91D0-B3A29BCD7016}" name="Customer Name" dataDxfId="12"/>
    <tableColumn id="3" xr3:uid="{B9C6F79A-AFDD-4756-A13A-6C68DBFDAAB8}" name="Customer Type" dataDxfId="11"/>
    <tableColumn id="4" xr3:uid="{CAB6C167-1F85-451F-B324-C478EADFB53A}" name="Service" dataDxfId="10"/>
    <tableColumn id="5" xr3:uid="{FB8542D8-E96F-41C0-9AC2-B89606CB32D0}" name="Department" dataDxfId="9"/>
    <tableColumn id="6" xr3:uid="{FF3382F3-A7AB-43F7-AF3E-E168276DB9E1}" name="City" dataDxfId="8"/>
    <tableColumn id="7" xr3:uid="{8F4A9049-C1E3-4A7D-A81B-6F01F65ED9B1}" name="Sales Amount" dataDxfId="7"/>
    <tableColumn id="8" xr3:uid="{79ACF9A9-6DAE-444D-833E-FF0680E97A7F}" name="Margin %" dataDxfId="6"/>
    <tableColumn id="9" xr3:uid="{C65E8488-F191-41F3-ABAF-AD14913839E9}" name="Margin Amount" dataDxfId="5"/>
    <tableColumn id="10" xr3:uid="{0003F9DE-5CD4-4939-A81C-B93030A4920A}" name="Sale Type" dataDxfId="4"/>
    <tableColumn id="11" xr3:uid="{5D3156F2-A61C-4953-A8B5-10D9B440657F}" name="Customer Source" dataDxfId="3"/>
    <tableColumn id="12" xr3:uid="{B18CAAE4-F31F-49EA-B768-DF1EC869B98F}" name="Package Type"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43B40-0CE6-4A0E-B33F-DB59D72B0A89}">
  <sheetPr codeName="Sheet2"/>
  <dimension ref="A1:D104"/>
  <sheetViews>
    <sheetView workbookViewId="0">
      <selection activeCell="H77" sqref="H77"/>
    </sheetView>
  </sheetViews>
  <sheetFormatPr defaultRowHeight="14.4" x14ac:dyDescent="0.3"/>
  <cols>
    <col min="1" max="1" width="21.21875" bestFit="1" customWidth="1"/>
    <col min="2" max="2" width="7" bestFit="1" customWidth="1"/>
    <col min="3" max="3" width="11.21875" bestFit="1" customWidth="1"/>
    <col min="4" max="4" width="12.5546875" bestFit="1" customWidth="1"/>
  </cols>
  <sheetData>
    <row r="1" spans="1:3" x14ac:dyDescent="0.3">
      <c r="A1" s="1" t="s">
        <v>53</v>
      </c>
    </row>
    <row r="2" spans="1:3" x14ac:dyDescent="0.3">
      <c r="A2" t="s">
        <v>52</v>
      </c>
      <c r="B2" t="s">
        <v>54</v>
      </c>
      <c r="C2" t="s">
        <v>55</v>
      </c>
    </row>
    <row r="3" spans="1:3" x14ac:dyDescent="0.3">
      <c r="A3" s="3">
        <v>471562</v>
      </c>
      <c r="B3" s="3">
        <v>151476.65000000002</v>
      </c>
      <c r="C3" s="3">
        <v>120</v>
      </c>
    </row>
    <row r="7" spans="1:3" x14ac:dyDescent="0.3">
      <c r="B7" s="1" t="s">
        <v>53</v>
      </c>
    </row>
    <row r="8" spans="1:3" x14ac:dyDescent="0.3">
      <c r="A8" s="1" t="s">
        <v>56</v>
      </c>
      <c r="B8" t="s">
        <v>58</v>
      </c>
      <c r="C8" t="s">
        <v>59</v>
      </c>
    </row>
    <row r="9" spans="1:3" x14ac:dyDescent="0.3">
      <c r="A9" s="4" t="s">
        <v>61</v>
      </c>
      <c r="B9" s="3">
        <v>151323</v>
      </c>
      <c r="C9" s="3">
        <v>49652.649999999994</v>
      </c>
    </row>
    <row r="10" spans="1:3" x14ac:dyDescent="0.3">
      <c r="A10" s="5" t="s">
        <v>60</v>
      </c>
      <c r="B10" s="3">
        <v>151323</v>
      </c>
      <c r="C10" s="3">
        <v>49652.649999999994</v>
      </c>
    </row>
    <row r="11" spans="1:3" x14ac:dyDescent="0.3">
      <c r="A11" s="4" t="s">
        <v>62</v>
      </c>
      <c r="B11" s="3">
        <v>141612</v>
      </c>
      <c r="C11" s="3">
        <v>45773.649999999994</v>
      </c>
    </row>
    <row r="12" spans="1:3" x14ac:dyDescent="0.3">
      <c r="A12" s="5" t="s">
        <v>60</v>
      </c>
      <c r="B12" s="3">
        <v>141612</v>
      </c>
      <c r="C12" s="3">
        <v>45773.649999999994</v>
      </c>
    </row>
    <row r="13" spans="1:3" x14ac:dyDescent="0.3">
      <c r="A13" s="4" t="s">
        <v>63</v>
      </c>
      <c r="B13" s="3">
        <v>178627</v>
      </c>
      <c r="C13" s="3">
        <v>56050.350000000006</v>
      </c>
    </row>
    <row r="14" spans="1:3" x14ac:dyDescent="0.3">
      <c r="A14" s="5" t="s">
        <v>60</v>
      </c>
      <c r="B14" s="3">
        <v>178627</v>
      </c>
      <c r="C14" s="3">
        <v>56050.350000000006</v>
      </c>
    </row>
    <row r="15" spans="1:3" x14ac:dyDescent="0.3">
      <c r="A15" s="4" t="s">
        <v>57</v>
      </c>
      <c r="B15" s="3">
        <v>471562</v>
      </c>
      <c r="C15" s="3">
        <v>151476.65</v>
      </c>
    </row>
    <row r="17" spans="1:3" x14ac:dyDescent="0.3">
      <c r="A17" s="1" t="s">
        <v>56</v>
      </c>
      <c r="B17" t="s">
        <v>58</v>
      </c>
    </row>
    <row r="18" spans="1:3" x14ac:dyDescent="0.3">
      <c r="A18" s="4" t="s">
        <v>25</v>
      </c>
      <c r="B18" s="3">
        <v>229522</v>
      </c>
    </row>
    <row r="19" spans="1:3" x14ac:dyDescent="0.3">
      <c r="A19" s="4" t="s">
        <v>19</v>
      </c>
      <c r="B19" s="3">
        <v>242040</v>
      </c>
    </row>
    <row r="20" spans="1:3" x14ac:dyDescent="0.3">
      <c r="A20" s="4" t="s">
        <v>57</v>
      </c>
      <c r="B20" s="3">
        <v>471562</v>
      </c>
    </row>
    <row r="25" spans="1:3" x14ac:dyDescent="0.3">
      <c r="B25" s="1" t="s">
        <v>53</v>
      </c>
    </row>
    <row r="26" spans="1:3" x14ac:dyDescent="0.3">
      <c r="A26" s="1" t="s">
        <v>56</v>
      </c>
      <c r="B26" t="s">
        <v>58</v>
      </c>
      <c r="C26" t="s">
        <v>65</v>
      </c>
    </row>
    <row r="27" spans="1:3" x14ac:dyDescent="0.3">
      <c r="A27" s="4" t="s">
        <v>35</v>
      </c>
      <c r="B27" s="3">
        <v>213797</v>
      </c>
      <c r="C27" s="3">
        <v>0.32363636363636367</v>
      </c>
    </row>
    <row r="28" spans="1:3" x14ac:dyDescent="0.3">
      <c r="A28" s="4" t="s">
        <v>15</v>
      </c>
      <c r="B28" s="3">
        <v>257765</v>
      </c>
      <c r="C28" s="3">
        <v>0.32076923076923081</v>
      </c>
    </row>
    <row r="29" spans="1:3" x14ac:dyDescent="0.3">
      <c r="A29" s="4" t="s">
        <v>57</v>
      </c>
      <c r="B29" s="3">
        <v>471562</v>
      </c>
      <c r="C29" s="3">
        <v>0.32208333333333333</v>
      </c>
    </row>
    <row r="33" spans="1:3" x14ac:dyDescent="0.3">
      <c r="B33" s="1" t="s">
        <v>53</v>
      </c>
    </row>
    <row r="34" spans="1:3" x14ac:dyDescent="0.3">
      <c r="A34" s="1" t="s">
        <v>56</v>
      </c>
      <c r="B34" t="s">
        <v>58</v>
      </c>
      <c r="C34" t="s">
        <v>59</v>
      </c>
    </row>
    <row r="35" spans="1:3" x14ac:dyDescent="0.3">
      <c r="A35" s="4" t="s">
        <v>29</v>
      </c>
      <c r="B35" s="3">
        <v>110503</v>
      </c>
      <c r="C35" s="3">
        <v>36162.499999999993</v>
      </c>
    </row>
    <row r="36" spans="1:3" x14ac:dyDescent="0.3">
      <c r="A36" s="4" t="s">
        <v>33</v>
      </c>
      <c r="B36" s="3">
        <v>64170</v>
      </c>
      <c r="C36" s="3">
        <v>20464.550000000003</v>
      </c>
    </row>
    <row r="37" spans="1:3" x14ac:dyDescent="0.3">
      <c r="A37" s="4" t="s">
        <v>23</v>
      </c>
      <c r="B37" s="3">
        <v>111561</v>
      </c>
      <c r="C37" s="3">
        <v>35491.000000000007</v>
      </c>
    </row>
    <row r="38" spans="1:3" x14ac:dyDescent="0.3">
      <c r="A38" s="4" t="s">
        <v>43</v>
      </c>
      <c r="B38" s="3">
        <v>93245</v>
      </c>
      <c r="C38" s="3">
        <v>28010.75</v>
      </c>
    </row>
    <row r="39" spans="1:3" x14ac:dyDescent="0.3">
      <c r="A39" s="4" t="s">
        <v>16</v>
      </c>
      <c r="B39" s="3">
        <v>92083</v>
      </c>
      <c r="C39" s="3">
        <v>31347.85</v>
      </c>
    </row>
    <row r="40" spans="1:3" x14ac:dyDescent="0.3">
      <c r="A40" s="4" t="s">
        <v>57</v>
      </c>
      <c r="B40" s="3">
        <v>471562</v>
      </c>
      <c r="C40" s="3">
        <v>151476.65</v>
      </c>
    </row>
    <row r="41" spans="1:3" x14ac:dyDescent="0.3">
      <c r="B41" s="1" t="s">
        <v>53</v>
      </c>
    </row>
    <row r="42" spans="1:3" x14ac:dyDescent="0.3">
      <c r="A42" s="1" t="s">
        <v>56</v>
      </c>
      <c r="B42" t="s">
        <v>58</v>
      </c>
      <c r="C42" t="s">
        <v>65</v>
      </c>
    </row>
    <row r="43" spans="1:3" x14ac:dyDescent="0.3">
      <c r="A43" s="4" t="s">
        <v>24</v>
      </c>
      <c r="B43" s="3">
        <v>111561</v>
      </c>
      <c r="C43" s="3">
        <v>0.32068965517241377</v>
      </c>
    </row>
    <row r="44" spans="1:3" x14ac:dyDescent="0.3">
      <c r="A44" s="4" t="s">
        <v>17</v>
      </c>
      <c r="B44" s="3">
        <v>156253</v>
      </c>
      <c r="C44" s="3">
        <v>0.33170731707317075</v>
      </c>
    </row>
    <row r="45" spans="1:3" x14ac:dyDescent="0.3">
      <c r="A45" s="4" t="s">
        <v>30</v>
      </c>
      <c r="B45" s="3">
        <v>203748</v>
      </c>
      <c r="C45" s="3">
        <v>0.31500000000000006</v>
      </c>
    </row>
    <row r="46" spans="1:3" x14ac:dyDescent="0.3">
      <c r="A46" s="4" t="s">
        <v>57</v>
      </c>
      <c r="B46" s="3">
        <v>471562</v>
      </c>
      <c r="C46" s="3">
        <v>0.32208333333333333</v>
      </c>
    </row>
    <row r="49" spans="1:4" x14ac:dyDescent="0.3">
      <c r="B49" s="1" t="s">
        <v>53</v>
      </c>
    </row>
    <row r="50" spans="1:4" x14ac:dyDescent="0.3">
      <c r="A50" s="1" t="s">
        <v>56</v>
      </c>
      <c r="B50" t="s">
        <v>58</v>
      </c>
      <c r="C50" t="s">
        <v>64</v>
      </c>
    </row>
    <row r="51" spans="1:4" x14ac:dyDescent="0.3">
      <c r="A51" s="4" t="s">
        <v>36</v>
      </c>
      <c r="B51" s="3">
        <v>105860</v>
      </c>
      <c r="C51" s="3">
        <v>25</v>
      </c>
    </row>
    <row r="52" spans="1:4" x14ac:dyDescent="0.3">
      <c r="A52" s="4" t="s">
        <v>18</v>
      </c>
      <c r="B52" s="3">
        <v>99132</v>
      </c>
      <c r="C52" s="3">
        <v>27</v>
      </c>
    </row>
    <row r="53" spans="1:4" x14ac:dyDescent="0.3">
      <c r="A53" s="4" t="s">
        <v>38</v>
      </c>
      <c r="B53" s="3">
        <v>72035</v>
      </c>
      <c r="C53" s="3">
        <v>17</v>
      </c>
    </row>
    <row r="54" spans="1:4" x14ac:dyDescent="0.3">
      <c r="A54" s="4" t="s">
        <v>31</v>
      </c>
      <c r="B54" s="3">
        <v>89102</v>
      </c>
      <c r="C54" s="3">
        <v>25</v>
      </c>
    </row>
    <row r="55" spans="1:4" x14ac:dyDescent="0.3">
      <c r="A55" s="4" t="s">
        <v>41</v>
      </c>
      <c r="B55" s="3">
        <v>105433</v>
      </c>
      <c r="C55" s="3">
        <v>26</v>
      </c>
    </row>
    <row r="56" spans="1:4" x14ac:dyDescent="0.3">
      <c r="A56" s="4" t="s">
        <v>57</v>
      </c>
      <c r="B56" s="3">
        <v>471562</v>
      </c>
      <c r="C56" s="3">
        <v>120</v>
      </c>
    </row>
    <row r="57" spans="1:4" x14ac:dyDescent="0.3">
      <c r="B57" s="1" t="s">
        <v>53</v>
      </c>
    </row>
    <row r="58" spans="1:4" x14ac:dyDescent="0.3">
      <c r="A58" s="1" t="s">
        <v>56</v>
      </c>
      <c r="B58" t="s">
        <v>64</v>
      </c>
      <c r="C58" t="s">
        <v>58</v>
      </c>
      <c r="D58" t="s">
        <v>65</v>
      </c>
    </row>
    <row r="59" spans="1:4" x14ac:dyDescent="0.3">
      <c r="A59" s="4" t="s">
        <v>29</v>
      </c>
      <c r="B59" s="3">
        <v>44</v>
      </c>
      <c r="C59" s="3">
        <v>169547</v>
      </c>
      <c r="D59" s="3">
        <v>0.31250000000000006</v>
      </c>
    </row>
    <row r="60" spans="1:4" x14ac:dyDescent="0.3">
      <c r="A60" s="4" t="s">
        <v>20</v>
      </c>
      <c r="B60" s="3">
        <v>44</v>
      </c>
      <c r="C60" s="3">
        <v>170404</v>
      </c>
      <c r="D60" s="3">
        <v>0.33068181818181824</v>
      </c>
    </row>
    <row r="61" spans="1:4" x14ac:dyDescent="0.3">
      <c r="A61" s="4" t="s">
        <v>26</v>
      </c>
      <c r="B61" s="3">
        <v>32</v>
      </c>
      <c r="C61" s="3">
        <v>131611</v>
      </c>
      <c r="D61" s="3">
        <v>0.32343749999999999</v>
      </c>
    </row>
    <row r="62" spans="1:4" x14ac:dyDescent="0.3">
      <c r="A62" s="4" t="s">
        <v>57</v>
      </c>
      <c r="B62" s="3">
        <v>120</v>
      </c>
      <c r="C62" s="3">
        <v>471562</v>
      </c>
      <c r="D62" s="3">
        <v>0.32208333333333339</v>
      </c>
    </row>
    <row r="65" spans="1:3" x14ac:dyDescent="0.3">
      <c r="B65" s="1" t="s">
        <v>53</v>
      </c>
    </row>
    <row r="66" spans="1:3" x14ac:dyDescent="0.3">
      <c r="A66" s="1" t="s">
        <v>56</v>
      </c>
      <c r="B66" t="s">
        <v>58</v>
      </c>
      <c r="C66" t="s">
        <v>64</v>
      </c>
    </row>
    <row r="67" spans="1:3" x14ac:dyDescent="0.3">
      <c r="A67" s="4" t="s">
        <v>27</v>
      </c>
      <c r="B67" s="3">
        <v>81476</v>
      </c>
      <c r="C67" s="3">
        <v>21</v>
      </c>
    </row>
    <row r="68" spans="1:3" x14ac:dyDescent="0.3">
      <c r="A68" s="4" t="s">
        <v>32</v>
      </c>
      <c r="B68" s="3">
        <v>132177</v>
      </c>
      <c r="C68" s="3">
        <v>35</v>
      </c>
    </row>
    <row r="69" spans="1:3" x14ac:dyDescent="0.3">
      <c r="A69" s="4" t="s">
        <v>37</v>
      </c>
      <c r="B69" s="3">
        <v>126032</v>
      </c>
      <c r="C69" s="3">
        <v>31</v>
      </c>
    </row>
    <row r="70" spans="1:3" x14ac:dyDescent="0.3">
      <c r="A70" s="4" t="s">
        <v>21</v>
      </c>
      <c r="B70" s="3">
        <v>131877</v>
      </c>
      <c r="C70" s="3">
        <v>33</v>
      </c>
    </row>
    <row r="71" spans="1:3" x14ac:dyDescent="0.3">
      <c r="A71" s="4" t="s">
        <v>57</v>
      </c>
      <c r="B71" s="3">
        <v>471562</v>
      </c>
      <c r="C71" s="3">
        <v>120</v>
      </c>
    </row>
    <row r="73" spans="1:3" x14ac:dyDescent="0.3">
      <c r="A73" s="1" t="s">
        <v>56</v>
      </c>
      <c r="B73" t="s">
        <v>58</v>
      </c>
    </row>
    <row r="74" spans="1:3" x14ac:dyDescent="0.3">
      <c r="A74" s="4" t="s">
        <v>48</v>
      </c>
      <c r="B74" s="3">
        <v>49958</v>
      </c>
    </row>
    <row r="75" spans="1:3" x14ac:dyDescent="0.3">
      <c r="A75" s="5" t="s">
        <v>25</v>
      </c>
      <c r="B75" s="3">
        <v>36192</v>
      </c>
    </row>
    <row r="76" spans="1:3" x14ac:dyDescent="0.3">
      <c r="A76" s="5" t="s">
        <v>19</v>
      </c>
      <c r="B76" s="3">
        <v>13766</v>
      </c>
    </row>
    <row r="77" spans="1:3" x14ac:dyDescent="0.3">
      <c r="A77" s="4" t="s">
        <v>39</v>
      </c>
      <c r="B77" s="3">
        <v>49088</v>
      </c>
    </row>
    <row r="78" spans="1:3" x14ac:dyDescent="0.3">
      <c r="A78" s="5" t="s">
        <v>25</v>
      </c>
      <c r="B78" s="3">
        <v>23034</v>
      </c>
    </row>
    <row r="79" spans="1:3" x14ac:dyDescent="0.3">
      <c r="A79" s="5" t="s">
        <v>19</v>
      </c>
      <c r="B79" s="3">
        <v>26054</v>
      </c>
    </row>
    <row r="80" spans="1:3" x14ac:dyDescent="0.3">
      <c r="A80" s="4" t="s">
        <v>28</v>
      </c>
      <c r="B80" s="3">
        <v>44669</v>
      </c>
    </row>
    <row r="81" spans="1:2" x14ac:dyDescent="0.3">
      <c r="A81" s="5" t="s">
        <v>25</v>
      </c>
      <c r="B81" s="3">
        <v>32041</v>
      </c>
    </row>
    <row r="82" spans="1:2" x14ac:dyDescent="0.3">
      <c r="A82" s="5" t="s">
        <v>19</v>
      </c>
      <c r="B82" s="3">
        <v>12628</v>
      </c>
    </row>
    <row r="83" spans="1:2" x14ac:dyDescent="0.3">
      <c r="A83" s="4" t="s">
        <v>22</v>
      </c>
      <c r="B83" s="3">
        <v>38746</v>
      </c>
    </row>
    <row r="84" spans="1:2" x14ac:dyDescent="0.3">
      <c r="A84" s="5" t="s">
        <v>25</v>
      </c>
      <c r="B84" s="3">
        <v>26645</v>
      </c>
    </row>
    <row r="85" spans="1:2" x14ac:dyDescent="0.3">
      <c r="A85" s="5" t="s">
        <v>19</v>
      </c>
      <c r="B85" s="3">
        <v>12101</v>
      </c>
    </row>
    <row r="86" spans="1:2" x14ac:dyDescent="0.3">
      <c r="A86" s="4" t="s">
        <v>44</v>
      </c>
      <c r="B86" s="3">
        <v>38602</v>
      </c>
    </row>
    <row r="87" spans="1:2" x14ac:dyDescent="0.3">
      <c r="A87" s="5" t="s">
        <v>25</v>
      </c>
      <c r="B87" s="3">
        <v>14302</v>
      </c>
    </row>
    <row r="88" spans="1:2" x14ac:dyDescent="0.3">
      <c r="A88" s="5" t="s">
        <v>19</v>
      </c>
      <c r="B88" s="3">
        <v>24300</v>
      </c>
    </row>
    <row r="89" spans="1:2" x14ac:dyDescent="0.3">
      <c r="A89" s="4" t="s">
        <v>50</v>
      </c>
      <c r="B89" s="3">
        <v>36692</v>
      </c>
    </row>
    <row r="90" spans="1:2" x14ac:dyDescent="0.3">
      <c r="A90" s="5" t="s">
        <v>25</v>
      </c>
      <c r="B90" s="3">
        <v>11091</v>
      </c>
    </row>
    <row r="91" spans="1:2" x14ac:dyDescent="0.3">
      <c r="A91" s="5" t="s">
        <v>19</v>
      </c>
      <c r="B91" s="3">
        <v>25601</v>
      </c>
    </row>
    <row r="92" spans="1:2" x14ac:dyDescent="0.3">
      <c r="A92" s="4" t="s">
        <v>45</v>
      </c>
      <c r="B92" s="3">
        <v>34279</v>
      </c>
    </row>
    <row r="93" spans="1:2" x14ac:dyDescent="0.3">
      <c r="A93" s="5" t="s">
        <v>25</v>
      </c>
      <c r="B93" s="3">
        <v>15484</v>
      </c>
    </row>
    <row r="94" spans="1:2" x14ac:dyDescent="0.3">
      <c r="A94" s="5" t="s">
        <v>19</v>
      </c>
      <c r="B94" s="3">
        <v>18795</v>
      </c>
    </row>
    <row r="95" spans="1:2" x14ac:dyDescent="0.3">
      <c r="A95" s="4" t="s">
        <v>34</v>
      </c>
      <c r="B95" s="3">
        <v>33538</v>
      </c>
    </row>
    <row r="96" spans="1:2" x14ac:dyDescent="0.3">
      <c r="A96" s="5" t="s">
        <v>25</v>
      </c>
      <c r="B96" s="3">
        <v>15244</v>
      </c>
    </row>
    <row r="97" spans="1:2" x14ac:dyDescent="0.3">
      <c r="A97" s="5" t="s">
        <v>19</v>
      </c>
      <c r="B97" s="3">
        <v>18294</v>
      </c>
    </row>
    <row r="98" spans="1:2" x14ac:dyDescent="0.3">
      <c r="A98" s="4" t="s">
        <v>46</v>
      </c>
      <c r="B98" s="3">
        <v>32867</v>
      </c>
    </row>
    <row r="99" spans="1:2" x14ac:dyDescent="0.3">
      <c r="A99" s="5" t="s">
        <v>25</v>
      </c>
      <c r="B99" s="3">
        <v>18427</v>
      </c>
    </row>
    <row r="100" spans="1:2" x14ac:dyDescent="0.3">
      <c r="A100" s="5" t="s">
        <v>19</v>
      </c>
      <c r="B100" s="3">
        <v>14440</v>
      </c>
    </row>
    <row r="101" spans="1:2" x14ac:dyDescent="0.3">
      <c r="A101" s="4" t="s">
        <v>47</v>
      </c>
      <c r="B101" s="3">
        <v>24323</v>
      </c>
    </row>
    <row r="102" spans="1:2" x14ac:dyDescent="0.3">
      <c r="A102" s="5" t="s">
        <v>25</v>
      </c>
      <c r="B102" s="3">
        <v>18407</v>
      </c>
    </row>
    <row r="103" spans="1:2" x14ac:dyDescent="0.3">
      <c r="A103" s="5" t="s">
        <v>19</v>
      </c>
      <c r="B103" s="3">
        <v>5916</v>
      </c>
    </row>
    <row r="104" spans="1:2" x14ac:dyDescent="0.3">
      <c r="A104" s="4" t="s">
        <v>57</v>
      </c>
      <c r="B104" s="3">
        <v>382762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A5217-FFBB-4BFC-8E3F-4DC9463DFE71}">
  <sheetPr codeName="Sheet3"/>
  <dimension ref="A1"/>
  <sheetViews>
    <sheetView showGridLines="0" tabSelected="1" zoomScale="99" zoomScaleNormal="99" workbookViewId="0">
      <selection activeCell="W7" sqref="W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A226B-7C82-435A-91D6-9E88B88BE7B3}">
  <sheetPr codeName="Sheet1"/>
  <dimension ref="A1:N121"/>
  <sheetViews>
    <sheetView workbookViewId="0">
      <selection activeCell="K12" sqref="K12"/>
    </sheetView>
  </sheetViews>
  <sheetFormatPr defaultRowHeight="14.4" x14ac:dyDescent="0.3"/>
  <cols>
    <col min="1" max="1" width="11.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s="2">
        <v>45015</v>
      </c>
      <c r="B2" t="str">
        <f>TEXT(tblSales[[#This Row],[Date]],"MMMM")</f>
        <v>March</v>
      </c>
      <c r="C2" t="str">
        <f>TEXT(tblSales[[#This Row],[Date]],"YYYY")</f>
        <v>2023</v>
      </c>
      <c r="D2" t="s">
        <v>14</v>
      </c>
      <c r="E2" t="s">
        <v>15</v>
      </c>
      <c r="F2" t="s">
        <v>16</v>
      </c>
      <c r="G2" t="s">
        <v>17</v>
      </c>
      <c r="H2" t="s">
        <v>18</v>
      </c>
      <c r="I2">
        <v>2033</v>
      </c>
      <c r="J2">
        <v>0.3</v>
      </c>
      <c r="K2">
        <v>609.9</v>
      </c>
      <c r="L2" t="s">
        <v>19</v>
      </c>
      <c r="M2" t="s">
        <v>20</v>
      </c>
      <c r="N2" t="s">
        <v>21</v>
      </c>
    </row>
    <row r="3" spans="1:14" x14ac:dyDescent="0.3">
      <c r="A3" s="2">
        <v>44945</v>
      </c>
      <c r="B3" t="str">
        <f>TEXT(tblSales[[#This Row],[Date]],"MMMM")</f>
        <v>January</v>
      </c>
      <c r="C3" t="str">
        <f>TEXT(tblSales[[#This Row],[Date]],"YYYY")</f>
        <v>2023</v>
      </c>
      <c r="D3" t="s">
        <v>22</v>
      </c>
      <c r="E3" t="s">
        <v>15</v>
      </c>
      <c r="F3" t="s">
        <v>23</v>
      </c>
      <c r="G3" t="s">
        <v>24</v>
      </c>
      <c r="H3" t="s">
        <v>18</v>
      </c>
      <c r="I3">
        <v>4847</v>
      </c>
      <c r="J3">
        <v>0.3</v>
      </c>
      <c r="K3">
        <v>1454.1</v>
      </c>
      <c r="L3" t="s">
        <v>25</v>
      </c>
      <c r="M3" t="s">
        <v>26</v>
      </c>
      <c r="N3" t="s">
        <v>27</v>
      </c>
    </row>
    <row r="4" spans="1:14" x14ac:dyDescent="0.3">
      <c r="A4" s="2">
        <v>44939</v>
      </c>
      <c r="B4" t="str">
        <f>TEXT(tblSales[[#This Row],[Date]],"MMMM")</f>
        <v>January</v>
      </c>
      <c r="C4" t="str">
        <f>TEXT(tblSales[[#This Row],[Date]],"YYYY")</f>
        <v>2023</v>
      </c>
      <c r="D4" t="s">
        <v>28</v>
      </c>
      <c r="E4" t="s">
        <v>15</v>
      </c>
      <c r="F4" t="s">
        <v>29</v>
      </c>
      <c r="G4" t="s">
        <v>30</v>
      </c>
      <c r="H4" t="s">
        <v>31</v>
      </c>
      <c r="I4">
        <v>3168</v>
      </c>
      <c r="J4">
        <v>0.25</v>
      </c>
      <c r="K4">
        <v>792</v>
      </c>
      <c r="L4" t="s">
        <v>19</v>
      </c>
      <c r="M4" t="s">
        <v>29</v>
      </c>
      <c r="N4" t="s">
        <v>32</v>
      </c>
    </row>
    <row r="5" spans="1:14" x14ac:dyDescent="0.3">
      <c r="A5" s="2">
        <v>44966</v>
      </c>
      <c r="B5" t="str">
        <f>TEXT(tblSales[[#This Row],[Date]],"MMMM")</f>
        <v>February</v>
      </c>
      <c r="C5" t="str">
        <f>TEXT(tblSales[[#This Row],[Date]],"YYYY")</f>
        <v>2023</v>
      </c>
      <c r="D5" t="s">
        <v>28</v>
      </c>
      <c r="E5" t="s">
        <v>15</v>
      </c>
      <c r="F5" t="s">
        <v>33</v>
      </c>
      <c r="G5" t="s">
        <v>17</v>
      </c>
      <c r="H5" t="s">
        <v>18</v>
      </c>
      <c r="I5">
        <v>3839</v>
      </c>
      <c r="J5">
        <v>0.3</v>
      </c>
      <c r="K5">
        <v>1151.7</v>
      </c>
      <c r="L5" t="s">
        <v>25</v>
      </c>
      <c r="M5" t="s">
        <v>20</v>
      </c>
      <c r="N5" t="s">
        <v>32</v>
      </c>
    </row>
    <row r="6" spans="1:14" x14ac:dyDescent="0.3">
      <c r="A6" s="2">
        <v>44992</v>
      </c>
      <c r="B6" t="str">
        <f>TEXT(tblSales[[#This Row],[Date]],"MMMM")</f>
        <v>March</v>
      </c>
      <c r="C6" t="str">
        <f>TEXT(tblSales[[#This Row],[Date]],"YYYY")</f>
        <v>2023</v>
      </c>
      <c r="D6" t="s">
        <v>34</v>
      </c>
      <c r="E6" t="s">
        <v>35</v>
      </c>
      <c r="F6" t="s">
        <v>29</v>
      </c>
      <c r="G6" t="s">
        <v>30</v>
      </c>
      <c r="H6" t="s">
        <v>36</v>
      </c>
      <c r="I6">
        <v>3746</v>
      </c>
      <c r="J6">
        <v>0.4</v>
      </c>
      <c r="K6">
        <v>1498.4</v>
      </c>
      <c r="L6" t="s">
        <v>19</v>
      </c>
      <c r="M6" t="s">
        <v>26</v>
      </c>
      <c r="N6" t="s">
        <v>37</v>
      </c>
    </row>
    <row r="7" spans="1:14" x14ac:dyDescent="0.3">
      <c r="A7" s="2">
        <v>44988</v>
      </c>
      <c r="B7" t="str">
        <f>TEXT(tblSales[[#This Row],[Date]],"MMMM")</f>
        <v>March</v>
      </c>
      <c r="C7" t="str">
        <f>TEXT(tblSales[[#This Row],[Date]],"YYYY")</f>
        <v>2023</v>
      </c>
      <c r="D7" t="s">
        <v>28</v>
      </c>
      <c r="E7" t="s">
        <v>35</v>
      </c>
      <c r="F7" t="s">
        <v>23</v>
      </c>
      <c r="G7" t="s">
        <v>24</v>
      </c>
      <c r="H7" t="s">
        <v>38</v>
      </c>
      <c r="I7">
        <v>5476</v>
      </c>
      <c r="J7">
        <v>0.3</v>
      </c>
      <c r="K7">
        <v>1642.8</v>
      </c>
      <c r="L7" t="s">
        <v>25</v>
      </c>
      <c r="M7" t="s">
        <v>26</v>
      </c>
      <c r="N7" t="s">
        <v>21</v>
      </c>
    </row>
    <row r="8" spans="1:14" x14ac:dyDescent="0.3">
      <c r="A8" s="2">
        <v>44938</v>
      </c>
      <c r="B8" t="str">
        <f>TEXT(tblSales[[#This Row],[Date]],"MMMM")</f>
        <v>January</v>
      </c>
      <c r="C8" t="str">
        <f>TEXT(tblSales[[#This Row],[Date]],"YYYY")</f>
        <v>2023</v>
      </c>
      <c r="D8" t="s">
        <v>39</v>
      </c>
      <c r="E8" t="s">
        <v>15</v>
      </c>
      <c r="F8" t="s">
        <v>29</v>
      </c>
      <c r="G8" t="s">
        <v>30</v>
      </c>
      <c r="H8" t="s">
        <v>31</v>
      </c>
      <c r="I8">
        <v>2627</v>
      </c>
      <c r="J8">
        <v>0.3</v>
      </c>
      <c r="K8">
        <v>788.1</v>
      </c>
      <c r="L8" t="s">
        <v>19</v>
      </c>
      <c r="M8" t="s">
        <v>29</v>
      </c>
      <c r="N8" t="s">
        <v>37</v>
      </c>
    </row>
    <row r="9" spans="1:14" x14ac:dyDescent="0.3">
      <c r="A9" s="2">
        <v>44932</v>
      </c>
      <c r="B9" t="str">
        <f>TEXT(tblSales[[#This Row],[Date]],"MMMM")</f>
        <v>January</v>
      </c>
      <c r="C9" t="str">
        <f>TEXT(tblSales[[#This Row],[Date]],"YYYY")</f>
        <v>2023</v>
      </c>
      <c r="D9" t="s">
        <v>40</v>
      </c>
      <c r="E9" t="s">
        <v>35</v>
      </c>
      <c r="F9" t="s">
        <v>33</v>
      </c>
      <c r="G9" t="s">
        <v>17</v>
      </c>
      <c r="H9" t="s">
        <v>41</v>
      </c>
      <c r="I9">
        <v>2513</v>
      </c>
      <c r="J9">
        <v>0.25</v>
      </c>
      <c r="K9">
        <v>628.25</v>
      </c>
      <c r="L9" t="s">
        <v>19</v>
      </c>
      <c r="M9" t="s">
        <v>29</v>
      </c>
      <c r="N9" t="s">
        <v>32</v>
      </c>
    </row>
    <row r="10" spans="1:14" x14ac:dyDescent="0.3">
      <c r="A10" s="2">
        <v>44979</v>
      </c>
      <c r="B10" t="str">
        <f>TEXT(tblSales[[#This Row],[Date]],"MMMM")</f>
        <v>February</v>
      </c>
      <c r="C10" t="str">
        <f>TEXT(tblSales[[#This Row],[Date]],"YYYY")</f>
        <v>2023</v>
      </c>
      <c r="D10" t="s">
        <v>34</v>
      </c>
      <c r="E10" t="s">
        <v>35</v>
      </c>
      <c r="F10" t="s">
        <v>23</v>
      </c>
      <c r="G10" t="s">
        <v>24</v>
      </c>
      <c r="H10" t="s">
        <v>18</v>
      </c>
      <c r="I10">
        <v>2749</v>
      </c>
      <c r="J10">
        <v>0.25</v>
      </c>
      <c r="K10">
        <v>687.25</v>
      </c>
      <c r="L10" t="s">
        <v>19</v>
      </c>
      <c r="M10" t="s">
        <v>20</v>
      </c>
      <c r="N10" t="s">
        <v>37</v>
      </c>
    </row>
    <row r="11" spans="1:14" x14ac:dyDescent="0.3">
      <c r="A11" s="2">
        <v>44946</v>
      </c>
      <c r="B11" t="str">
        <f>TEXT(tblSales[[#This Row],[Date]],"MMMM")</f>
        <v>January</v>
      </c>
      <c r="C11" t="str">
        <f>TEXT(tblSales[[#This Row],[Date]],"YYYY")</f>
        <v>2023</v>
      </c>
      <c r="D11" t="s">
        <v>42</v>
      </c>
      <c r="E11" t="s">
        <v>15</v>
      </c>
      <c r="F11" t="s">
        <v>43</v>
      </c>
      <c r="G11" t="s">
        <v>30</v>
      </c>
      <c r="H11" t="s">
        <v>18</v>
      </c>
      <c r="I11">
        <v>2489</v>
      </c>
      <c r="J11">
        <v>0.35</v>
      </c>
      <c r="K11">
        <v>871.15</v>
      </c>
      <c r="L11" t="s">
        <v>19</v>
      </c>
      <c r="M11" t="s">
        <v>29</v>
      </c>
      <c r="N11" t="s">
        <v>21</v>
      </c>
    </row>
    <row r="12" spans="1:14" x14ac:dyDescent="0.3">
      <c r="A12" s="2">
        <v>44990</v>
      </c>
      <c r="B12" t="str">
        <f>TEXT(tblSales[[#This Row],[Date]],"MMMM")</f>
        <v>March</v>
      </c>
      <c r="C12" t="str">
        <f>TEXT(tblSales[[#This Row],[Date]],"YYYY")</f>
        <v>2023</v>
      </c>
      <c r="D12" t="s">
        <v>44</v>
      </c>
      <c r="E12" t="s">
        <v>15</v>
      </c>
      <c r="F12" t="s">
        <v>43</v>
      </c>
      <c r="G12" t="s">
        <v>30</v>
      </c>
      <c r="H12" t="s">
        <v>31</v>
      </c>
      <c r="I12">
        <v>5370</v>
      </c>
      <c r="J12">
        <v>0.25</v>
      </c>
      <c r="K12">
        <v>1342.5</v>
      </c>
      <c r="L12" t="s">
        <v>25</v>
      </c>
      <c r="M12" t="s">
        <v>29</v>
      </c>
      <c r="N12" t="s">
        <v>37</v>
      </c>
    </row>
    <row r="13" spans="1:14" x14ac:dyDescent="0.3">
      <c r="A13" s="2">
        <v>44972</v>
      </c>
      <c r="B13" t="str">
        <f>TEXT(tblSales[[#This Row],[Date]],"MMMM")</f>
        <v>February</v>
      </c>
      <c r="C13" t="str">
        <f>TEXT(tblSales[[#This Row],[Date]],"YYYY")</f>
        <v>2023</v>
      </c>
      <c r="D13" t="s">
        <v>40</v>
      </c>
      <c r="E13" t="s">
        <v>15</v>
      </c>
      <c r="F13" t="s">
        <v>33</v>
      </c>
      <c r="G13" t="s">
        <v>17</v>
      </c>
      <c r="H13" t="s">
        <v>31</v>
      </c>
      <c r="I13">
        <v>2580</v>
      </c>
      <c r="J13">
        <v>0.25</v>
      </c>
      <c r="K13">
        <v>645</v>
      </c>
      <c r="L13" t="s">
        <v>19</v>
      </c>
      <c r="M13" t="s">
        <v>20</v>
      </c>
      <c r="N13" t="s">
        <v>21</v>
      </c>
    </row>
    <row r="14" spans="1:14" x14ac:dyDescent="0.3">
      <c r="A14" s="2">
        <v>44944</v>
      </c>
      <c r="B14" t="str">
        <f>TEXT(tblSales[[#This Row],[Date]],"MMMM")</f>
        <v>January</v>
      </c>
      <c r="C14" t="str">
        <f>TEXT(tblSales[[#This Row],[Date]],"YYYY")</f>
        <v>2023</v>
      </c>
      <c r="D14" t="s">
        <v>28</v>
      </c>
      <c r="E14" t="s">
        <v>15</v>
      </c>
      <c r="F14" t="s">
        <v>33</v>
      </c>
      <c r="G14" t="s">
        <v>17</v>
      </c>
      <c r="H14" t="s">
        <v>18</v>
      </c>
      <c r="I14">
        <v>3629</v>
      </c>
      <c r="J14">
        <v>0.3</v>
      </c>
      <c r="K14">
        <v>1088.7</v>
      </c>
      <c r="L14" t="s">
        <v>25</v>
      </c>
      <c r="M14" t="s">
        <v>26</v>
      </c>
      <c r="N14" t="s">
        <v>32</v>
      </c>
    </row>
    <row r="15" spans="1:14" x14ac:dyDescent="0.3">
      <c r="A15" s="2">
        <v>44960</v>
      </c>
      <c r="B15" t="str">
        <f>TEXT(tblSales[[#This Row],[Date]],"MMMM")</f>
        <v>February</v>
      </c>
      <c r="C15" t="str">
        <f>TEXT(tblSales[[#This Row],[Date]],"YYYY")</f>
        <v>2023</v>
      </c>
      <c r="D15" t="s">
        <v>34</v>
      </c>
      <c r="E15" t="s">
        <v>15</v>
      </c>
      <c r="F15" t="s">
        <v>23</v>
      </c>
      <c r="G15" t="s">
        <v>24</v>
      </c>
      <c r="H15" t="s">
        <v>31</v>
      </c>
      <c r="I15">
        <v>3629</v>
      </c>
      <c r="J15">
        <v>0.4</v>
      </c>
      <c r="K15">
        <v>1451.6</v>
      </c>
      <c r="L15" t="s">
        <v>19</v>
      </c>
      <c r="M15" t="s">
        <v>20</v>
      </c>
      <c r="N15" t="s">
        <v>27</v>
      </c>
    </row>
    <row r="16" spans="1:14" x14ac:dyDescent="0.3">
      <c r="A16" s="2">
        <v>44933</v>
      </c>
      <c r="B16" t="str">
        <f>TEXT(tblSales[[#This Row],[Date]],"MMMM")</f>
        <v>January</v>
      </c>
      <c r="C16" t="str">
        <f>TEXT(tblSales[[#This Row],[Date]],"YYYY")</f>
        <v>2023</v>
      </c>
      <c r="D16" t="s">
        <v>45</v>
      </c>
      <c r="E16" t="s">
        <v>15</v>
      </c>
      <c r="F16" t="s">
        <v>16</v>
      </c>
      <c r="G16" t="s">
        <v>17</v>
      </c>
      <c r="H16" t="s">
        <v>41</v>
      </c>
      <c r="I16">
        <v>2725</v>
      </c>
      <c r="J16">
        <v>0.3</v>
      </c>
      <c r="K16">
        <v>817.5</v>
      </c>
      <c r="L16" t="s">
        <v>19</v>
      </c>
      <c r="M16" t="s">
        <v>20</v>
      </c>
      <c r="N16" t="s">
        <v>32</v>
      </c>
    </row>
    <row r="17" spans="1:14" x14ac:dyDescent="0.3">
      <c r="A17" s="2">
        <v>44929</v>
      </c>
      <c r="B17" t="str">
        <f>TEXT(tblSales[[#This Row],[Date]],"MMMM")</f>
        <v>January</v>
      </c>
      <c r="C17" t="str">
        <f>TEXT(tblSales[[#This Row],[Date]],"YYYY")</f>
        <v>2023</v>
      </c>
      <c r="D17" t="s">
        <v>42</v>
      </c>
      <c r="E17" t="s">
        <v>35</v>
      </c>
      <c r="F17" t="s">
        <v>43</v>
      </c>
      <c r="G17" t="s">
        <v>30</v>
      </c>
      <c r="H17" t="s">
        <v>36</v>
      </c>
      <c r="I17">
        <v>5077</v>
      </c>
      <c r="J17">
        <v>0.25</v>
      </c>
      <c r="K17">
        <v>1269.25</v>
      </c>
      <c r="L17" t="s">
        <v>19</v>
      </c>
      <c r="M17" t="s">
        <v>29</v>
      </c>
      <c r="N17" t="s">
        <v>32</v>
      </c>
    </row>
    <row r="18" spans="1:14" x14ac:dyDescent="0.3">
      <c r="A18" s="2">
        <v>45004</v>
      </c>
      <c r="B18" t="str">
        <f>TEXT(tblSales[[#This Row],[Date]],"MMMM")</f>
        <v>March</v>
      </c>
      <c r="C18" t="str">
        <f>TEXT(tblSales[[#This Row],[Date]],"YYYY")</f>
        <v>2023</v>
      </c>
      <c r="D18" t="s">
        <v>28</v>
      </c>
      <c r="E18" t="s">
        <v>15</v>
      </c>
      <c r="F18" t="s">
        <v>33</v>
      </c>
      <c r="G18" t="s">
        <v>17</v>
      </c>
      <c r="H18" t="s">
        <v>18</v>
      </c>
      <c r="I18">
        <v>4167</v>
      </c>
      <c r="J18">
        <v>0.3</v>
      </c>
      <c r="K18">
        <v>1250.0999999999999</v>
      </c>
      <c r="L18" t="s">
        <v>25</v>
      </c>
      <c r="M18" t="s">
        <v>29</v>
      </c>
      <c r="N18" t="s">
        <v>37</v>
      </c>
    </row>
    <row r="19" spans="1:14" x14ac:dyDescent="0.3">
      <c r="A19" s="2">
        <v>44946</v>
      </c>
      <c r="B19" t="str">
        <f>TEXT(tblSales[[#This Row],[Date]],"MMMM")</f>
        <v>January</v>
      </c>
      <c r="C19" t="str">
        <f>TEXT(tblSales[[#This Row],[Date]],"YYYY")</f>
        <v>2023</v>
      </c>
      <c r="D19" t="s">
        <v>46</v>
      </c>
      <c r="E19" t="s">
        <v>35</v>
      </c>
      <c r="F19" t="s">
        <v>23</v>
      </c>
      <c r="G19" t="s">
        <v>24</v>
      </c>
      <c r="H19" t="s">
        <v>18</v>
      </c>
      <c r="I19">
        <v>3375</v>
      </c>
      <c r="J19">
        <v>0.35</v>
      </c>
      <c r="K19">
        <v>1181.25</v>
      </c>
      <c r="L19" t="s">
        <v>25</v>
      </c>
      <c r="M19" t="s">
        <v>29</v>
      </c>
      <c r="N19" t="s">
        <v>32</v>
      </c>
    </row>
    <row r="20" spans="1:14" x14ac:dyDescent="0.3">
      <c r="A20" s="2">
        <v>44960</v>
      </c>
      <c r="B20" t="str">
        <f>TEXT(tblSales[[#This Row],[Date]],"MMMM")</f>
        <v>February</v>
      </c>
      <c r="C20" t="str">
        <f>TEXT(tblSales[[#This Row],[Date]],"YYYY")</f>
        <v>2023</v>
      </c>
      <c r="D20" t="s">
        <v>47</v>
      </c>
      <c r="E20" t="s">
        <v>15</v>
      </c>
      <c r="F20" t="s">
        <v>29</v>
      </c>
      <c r="G20" t="s">
        <v>30</v>
      </c>
      <c r="H20" t="s">
        <v>38</v>
      </c>
      <c r="I20">
        <v>5778</v>
      </c>
      <c r="J20">
        <v>0.4</v>
      </c>
      <c r="K20">
        <v>2311.1999999999998</v>
      </c>
      <c r="L20" t="s">
        <v>25</v>
      </c>
      <c r="M20" t="s">
        <v>20</v>
      </c>
      <c r="N20" t="s">
        <v>21</v>
      </c>
    </row>
    <row r="21" spans="1:14" x14ac:dyDescent="0.3">
      <c r="A21" s="2">
        <v>45014</v>
      </c>
      <c r="B21" t="str">
        <f>TEXT(tblSales[[#This Row],[Date]],"MMMM")</f>
        <v>March</v>
      </c>
      <c r="C21" t="str">
        <f>TEXT(tblSales[[#This Row],[Date]],"YYYY")</f>
        <v>2023</v>
      </c>
      <c r="D21" t="s">
        <v>48</v>
      </c>
      <c r="E21" t="s">
        <v>35</v>
      </c>
      <c r="F21" t="s">
        <v>43</v>
      </c>
      <c r="G21" t="s">
        <v>30</v>
      </c>
      <c r="H21" t="s">
        <v>18</v>
      </c>
      <c r="I21">
        <v>5905</v>
      </c>
      <c r="J21">
        <v>0.35</v>
      </c>
      <c r="K21">
        <v>2066.75</v>
      </c>
      <c r="L21" t="s">
        <v>25</v>
      </c>
      <c r="M21" t="s">
        <v>29</v>
      </c>
      <c r="N21" t="s">
        <v>27</v>
      </c>
    </row>
    <row r="22" spans="1:14" x14ac:dyDescent="0.3">
      <c r="A22" s="2">
        <v>44990</v>
      </c>
      <c r="B22" t="str">
        <f>TEXT(tblSales[[#This Row],[Date]],"MMMM")</f>
        <v>March</v>
      </c>
      <c r="C22" t="str">
        <f>TEXT(tblSales[[#This Row],[Date]],"YYYY")</f>
        <v>2023</v>
      </c>
      <c r="D22" t="s">
        <v>44</v>
      </c>
      <c r="E22" t="s">
        <v>35</v>
      </c>
      <c r="F22" t="s">
        <v>23</v>
      </c>
      <c r="G22" t="s">
        <v>24</v>
      </c>
      <c r="H22" t="s">
        <v>18</v>
      </c>
      <c r="I22">
        <v>5060</v>
      </c>
      <c r="J22">
        <v>0.25</v>
      </c>
      <c r="K22">
        <v>1265</v>
      </c>
      <c r="L22" t="s">
        <v>19</v>
      </c>
      <c r="M22" t="s">
        <v>20</v>
      </c>
      <c r="N22" t="s">
        <v>32</v>
      </c>
    </row>
    <row r="23" spans="1:14" x14ac:dyDescent="0.3">
      <c r="A23" s="2">
        <v>44963</v>
      </c>
      <c r="B23" t="str">
        <f>TEXT(tblSales[[#This Row],[Date]],"MMMM")</f>
        <v>February</v>
      </c>
      <c r="C23" t="str">
        <f>TEXT(tblSales[[#This Row],[Date]],"YYYY")</f>
        <v>2023</v>
      </c>
      <c r="D23" t="s">
        <v>34</v>
      </c>
      <c r="E23" t="s">
        <v>35</v>
      </c>
      <c r="F23" t="s">
        <v>43</v>
      </c>
      <c r="G23" t="s">
        <v>30</v>
      </c>
      <c r="H23" t="s">
        <v>36</v>
      </c>
      <c r="I23">
        <v>4133</v>
      </c>
      <c r="J23">
        <v>0.3</v>
      </c>
      <c r="K23">
        <v>1239.9000000000001</v>
      </c>
      <c r="L23" t="s">
        <v>25</v>
      </c>
      <c r="M23" t="s">
        <v>29</v>
      </c>
      <c r="N23" t="s">
        <v>32</v>
      </c>
    </row>
    <row r="24" spans="1:14" x14ac:dyDescent="0.3">
      <c r="A24" s="2">
        <v>44950</v>
      </c>
      <c r="B24" t="str">
        <f>TEXT(tblSales[[#This Row],[Date]],"MMMM")</f>
        <v>January</v>
      </c>
      <c r="C24" t="str">
        <f>TEXT(tblSales[[#This Row],[Date]],"YYYY")</f>
        <v>2023</v>
      </c>
      <c r="D24" t="s">
        <v>47</v>
      </c>
      <c r="E24" t="s">
        <v>15</v>
      </c>
      <c r="F24" t="s">
        <v>29</v>
      </c>
      <c r="G24" t="s">
        <v>30</v>
      </c>
      <c r="H24" t="s">
        <v>41</v>
      </c>
      <c r="I24">
        <v>5499</v>
      </c>
      <c r="J24">
        <v>0.35</v>
      </c>
      <c r="K24">
        <v>1924.65</v>
      </c>
      <c r="L24" t="s">
        <v>25</v>
      </c>
      <c r="M24" t="s">
        <v>29</v>
      </c>
      <c r="N24" t="s">
        <v>21</v>
      </c>
    </row>
    <row r="25" spans="1:14" x14ac:dyDescent="0.3">
      <c r="A25" s="2">
        <v>45015</v>
      </c>
      <c r="B25" t="str">
        <f>TEXT(tblSales[[#This Row],[Date]],"MMMM")</f>
        <v>March</v>
      </c>
      <c r="C25" t="str">
        <f>TEXT(tblSales[[#This Row],[Date]],"YYYY")</f>
        <v>2023</v>
      </c>
      <c r="D25" t="s">
        <v>49</v>
      </c>
      <c r="E25" t="s">
        <v>35</v>
      </c>
      <c r="F25" t="s">
        <v>43</v>
      </c>
      <c r="G25" t="s">
        <v>30</v>
      </c>
      <c r="H25" t="s">
        <v>36</v>
      </c>
      <c r="I25">
        <v>4352</v>
      </c>
      <c r="J25">
        <v>0.3</v>
      </c>
      <c r="K25">
        <v>1305.5999999999999</v>
      </c>
      <c r="L25" t="s">
        <v>19</v>
      </c>
      <c r="M25" t="s">
        <v>29</v>
      </c>
      <c r="N25" t="s">
        <v>21</v>
      </c>
    </row>
    <row r="26" spans="1:14" x14ac:dyDescent="0.3">
      <c r="A26" s="2">
        <v>45002</v>
      </c>
      <c r="B26" t="str">
        <f>TEXT(tblSales[[#This Row],[Date]],"MMMM")</f>
        <v>March</v>
      </c>
      <c r="C26" t="str">
        <f>TEXT(tblSales[[#This Row],[Date]],"YYYY")</f>
        <v>2023</v>
      </c>
      <c r="D26" t="s">
        <v>14</v>
      </c>
      <c r="E26" t="s">
        <v>15</v>
      </c>
      <c r="F26" t="s">
        <v>23</v>
      </c>
      <c r="G26" t="s">
        <v>24</v>
      </c>
      <c r="H26" t="s">
        <v>18</v>
      </c>
      <c r="I26">
        <v>5198</v>
      </c>
      <c r="J26">
        <v>0.25</v>
      </c>
      <c r="K26">
        <v>1299.5</v>
      </c>
      <c r="L26" t="s">
        <v>19</v>
      </c>
      <c r="M26" t="s">
        <v>20</v>
      </c>
      <c r="N26" t="s">
        <v>37</v>
      </c>
    </row>
    <row r="27" spans="1:14" x14ac:dyDescent="0.3">
      <c r="A27" s="2">
        <v>44954</v>
      </c>
      <c r="B27" t="str">
        <f>TEXT(tblSales[[#This Row],[Date]],"MMMM")</f>
        <v>January</v>
      </c>
      <c r="C27" t="str">
        <f>TEXT(tblSales[[#This Row],[Date]],"YYYY")</f>
        <v>2023</v>
      </c>
      <c r="D27" t="s">
        <v>47</v>
      </c>
      <c r="E27" t="s">
        <v>35</v>
      </c>
      <c r="F27" t="s">
        <v>23</v>
      </c>
      <c r="G27" t="s">
        <v>24</v>
      </c>
      <c r="H27" t="s">
        <v>18</v>
      </c>
      <c r="I27">
        <v>2045</v>
      </c>
      <c r="J27">
        <v>0.3</v>
      </c>
      <c r="K27">
        <v>613.5</v>
      </c>
      <c r="L27" t="s">
        <v>25</v>
      </c>
      <c r="M27" t="s">
        <v>20</v>
      </c>
      <c r="N27" t="s">
        <v>21</v>
      </c>
    </row>
    <row r="28" spans="1:14" x14ac:dyDescent="0.3">
      <c r="A28" s="2">
        <v>45005</v>
      </c>
      <c r="B28" t="str">
        <f>TEXT(tblSales[[#This Row],[Date]],"MMMM")</f>
        <v>March</v>
      </c>
      <c r="C28" t="str">
        <f>TEXT(tblSales[[#This Row],[Date]],"YYYY")</f>
        <v>2023</v>
      </c>
      <c r="D28" t="s">
        <v>45</v>
      </c>
      <c r="E28" t="s">
        <v>15</v>
      </c>
      <c r="F28" t="s">
        <v>23</v>
      </c>
      <c r="G28" t="s">
        <v>24</v>
      </c>
      <c r="H28" t="s">
        <v>38</v>
      </c>
      <c r="I28">
        <v>5365</v>
      </c>
      <c r="J28">
        <v>0.25</v>
      </c>
      <c r="K28">
        <v>1341.25</v>
      </c>
      <c r="L28" t="s">
        <v>25</v>
      </c>
      <c r="M28" t="s">
        <v>26</v>
      </c>
      <c r="N28" t="s">
        <v>27</v>
      </c>
    </row>
    <row r="29" spans="1:14" x14ac:dyDescent="0.3">
      <c r="A29" s="2">
        <v>44999</v>
      </c>
      <c r="B29" t="str">
        <f>TEXT(tblSales[[#This Row],[Date]],"MMMM")</f>
        <v>March</v>
      </c>
      <c r="C29" t="str">
        <f>TEXT(tblSales[[#This Row],[Date]],"YYYY")</f>
        <v>2023</v>
      </c>
      <c r="D29" t="s">
        <v>39</v>
      </c>
      <c r="E29" t="s">
        <v>15</v>
      </c>
      <c r="F29" t="s">
        <v>29</v>
      </c>
      <c r="G29" t="s">
        <v>30</v>
      </c>
      <c r="H29" t="s">
        <v>18</v>
      </c>
      <c r="I29">
        <v>4511</v>
      </c>
      <c r="J29">
        <v>0.35</v>
      </c>
      <c r="K29">
        <v>1578.85</v>
      </c>
      <c r="L29" t="s">
        <v>25</v>
      </c>
      <c r="M29" t="s">
        <v>26</v>
      </c>
      <c r="N29" t="s">
        <v>21</v>
      </c>
    </row>
    <row r="30" spans="1:14" x14ac:dyDescent="0.3">
      <c r="A30" s="2">
        <v>44944</v>
      </c>
      <c r="B30" t="str">
        <f>TEXT(tblSales[[#This Row],[Date]],"MMMM")</f>
        <v>January</v>
      </c>
      <c r="C30" t="str">
        <f>TEXT(tblSales[[#This Row],[Date]],"YYYY")</f>
        <v>2023</v>
      </c>
      <c r="D30" t="s">
        <v>14</v>
      </c>
      <c r="E30" t="s">
        <v>35</v>
      </c>
      <c r="F30" t="s">
        <v>16</v>
      </c>
      <c r="G30" t="s">
        <v>17</v>
      </c>
      <c r="H30" t="s">
        <v>31</v>
      </c>
      <c r="I30">
        <v>2956</v>
      </c>
      <c r="J30">
        <v>0.35</v>
      </c>
      <c r="K30">
        <v>1034.5999999999999</v>
      </c>
      <c r="L30" t="s">
        <v>19</v>
      </c>
      <c r="M30" t="s">
        <v>29</v>
      </c>
      <c r="N30" t="s">
        <v>32</v>
      </c>
    </row>
    <row r="31" spans="1:14" x14ac:dyDescent="0.3">
      <c r="A31" s="2">
        <v>44960</v>
      </c>
      <c r="B31" t="str">
        <f>TEXT(tblSales[[#This Row],[Date]],"MMMM")</f>
        <v>February</v>
      </c>
      <c r="C31" t="str">
        <f>TEXT(tblSales[[#This Row],[Date]],"YYYY")</f>
        <v>2023</v>
      </c>
      <c r="D31" t="s">
        <v>40</v>
      </c>
      <c r="E31" t="s">
        <v>15</v>
      </c>
      <c r="F31" t="s">
        <v>29</v>
      </c>
      <c r="G31" t="s">
        <v>30</v>
      </c>
      <c r="H31" t="s">
        <v>38</v>
      </c>
      <c r="I31">
        <v>4518</v>
      </c>
      <c r="J31">
        <v>0.25</v>
      </c>
      <c r="K31">
        <v>1129.5</v>
      </c>
      <c r="L31" t="s">
        <v>25</v>
      </c>
      <c r="M31" t="s">
        <v>20</v>
      </c>
      <c r="N31" t="s">
        <v>37</v>
      </c>
    </row>
    <row r="32" spans="1:14" x14ac:dyDescent="0.3">
      <c r="A32" s="2">
        <v>44963</v>
      </c>
      <c r="B32" t="str">
        <f>TEXT(tblSales[[#This Row],[Date]],"MMMM")</f>
        <v>February</v>
      </c>
      <c r="C32" t="str">
        <f>TEXT(tblSales[[#This Row],[Date]],"YYYY")</f>
        <v>2023</v>
      </c>
      <c r="D32" t="s">
        <v>22</v>
      </c>
      <c r="E32" t="s">
        <v>35</v>
      </c>
      <c r="F32" t="s">
        <v>29</v>
      </c>
      <c r="G32" t="s">
        <v>30</v>
      </c>
      <c r="H32" t="s">
        <v>31</v>
      </c>
      <c r="I32">
        <v>4475</v>
      </c>
      <c r="J32">
        <v>0.35</v>
      </c>
      <c r="K32">
        <v>1566.25</v>
      </c>
      <c r="L32" t="s">
        <v>19</v>
      </c>
      <c r="M32" t="s">
        <v>29</v>
      </c>
      <c r="N32" t="s">
        <v>32</v>
      </c>
    </row>
    <row r="33" spans="1:14" x14ac:dyDescent="0.3">
      <c r="A33" s="2">
        <v>44959</v>
      </c>
      <c r="B33" t="str">
        <f>TEXT(tblSales[[#This Row],[Date]],"MMMM")</f>
        <v>February</v>
      </c>
      <c r="C33" t="str">
        <f>TEXT(tblSales[[#This Row],[Date]],"YYYY")</f>
        <v>2023</v>
      </c>
      <c r="D33" t="s">
        <v>50</v>
      </c>
      <c r="E33" t="s">
        <v>15</v>
      </c>
      <c r="F33" t="s">
        <v>43</v>
      </c>
      <c r="G33" t="s">
        <v>30</v>
      </c>
      <c r="H33" t="s">
        <v>31</v>
      </c>
      <c r="I33">
        <v>3111</v>
      </c>
      <c r="J33">
        <v>0.25</v>
      </c>
      <c r="K33">
        <v>777.75</v>
      </c>
      <c r="L33" t="s">
        <v>19</v>
      </c>
      <c r="M33" t="s">
        <v>26</v>
      </c>
      <c r="N33" t="s">
        <v>32</v>
      </c>
    </row>
    <row r="34" spans="1:14" x14ac:dyDescent="0.3">
      <c r="A34" s="2">
        <v>44959</v>
      </c>
      <c r="B34" t="str">
        <f>TEXT(tblSales[[#This Row],[Date]],"MMMM")</f>
        <v>February</v>
      </c>
      <c r="C34" t="str">
        <f>TEXT(tblSales[[#This Row],[Date]],"YYYY")</f>
        <v>2023</v>
      </c>
      <c r="D34" t="s">
        <v>46</v>
      </c>
      <c r="E34" t="s">
        <v>35</v>
      </c>
      <c r="F34" t="s">
        <v>43</v>
      </c>
      <c r="G34" t="s">
        <v>30</v>
      </c>
      <c r="H34" t="s">
        <v>18</v>
      </c>
      <c r="I34">
        <v>4268</v>
      </c>
      <c r="J34">
        <v>0.25</v>
      </c>
      <c r="K34">
        <v>1067</v>
      </c>
      <c r="L34" t="s">
        <v>19</v>
      </c>
      <c r="M34" t="s">
        <v>20</v>
      </c>
      <c r="N34" t="s">
        <v>32</v>
      </c>
    </row>
    <row r="35" spans="1:14" x14ac:dyDescent="0.3">
      <c r="A35" s="2">
        <v>44949</v>
      </c>
      <c r="B35" t="str">
        <f>TEXT(tblSales[[#This Row],[Date]],"MMMM")</f>
        <v>January</v>
      </c>
      <c r="C35" t="str">
        <f>TEXT(tblSales[[#This Row],[Date]],"YYYY")</f>
        <v>2023</v>
      </c>
      <c r="D35" t="s">
        <v>39</v>
      </c>
      <c r="E35" t="s">
        <v>35</v>
      </c>
      <c r="F35" t="s">
        <v>16</v>
      </c>
      <c r="G35" t="s">
        <v>17</v>
      </c>
      <c r="H35" t="s">
        <v>41</v>
      </c>
      <c r="I35">
        <v>2619</v>
      </c>
      <c r="J35">
        <v>0.4</v>
      </c>
      <c r="K35">
        <v>1047.5999999999999</v>
      </c>
      <c r="L35" t="s">
        <v>25</v>
      </c>
      <c r="M35" t="s">
        <v>26</v>
      </c>
      <c r="N35" t="s">
        <v>37</v>
      </c>
    </row>
    <row r="36" spans="1:14" x14ac:dyDescent="0.3">
      <c r="A36" s="2">
        <v>44959</v>
      </c>
      <c r="B36" t="str">
        <f>TEXT(tblSales[[#This Row],[Date]],"MMMM")</f>
        <v>February</v>
      </c>
      <c r="C36" t="str">
        <f>TEXT(tblSales[[#This Row],[Date]],"YYYY")</f>
        <v>2023</v>
      </c>
      <c r="D36" t="s">
        <v>42</v>
      </c>
      <c r="E36" t="s">
        <v>35</v>
      </c>
      <c r="F36" t="s">
        <v>29</v>
      </c>
      <c r="G36" t="s">
        <v>30</v>
      </c>
      <c r="H36" t="s">
        <v>31</v>
      </c>
      <c r="I36">
        <v>4046</v>
      </c>
      <c r="J36">
        <v>0.35</v>
      </c>
      <c r="K36">
        <v>1416.1</v>
      </c>
      <c r="L36" t="s">
        <v>19</v>
      </c>
      <c r="M36" t="s">
        <v>29</v>
      </c>
      <c r="N36" t="s">
        <v>32</v>
      </c>
    </row>
    <row r="37" spans="1:14" x14ac:dyDescent="0.3">
      <c r="A37" s="2">
        <v>44985</v>
      </c>
      <c r="B37" t="str">
        <f>TEXT(tblSales[[#This Row],[Date]],"MMMM")</f>
        <v>February</v>
      </c>
      <c r="C37" t="str">
        <f>TEXT(tblSales[[#This Row],[Date]],"YYYY")</f>
        <v>2023</v>
      </c>
      <c r="D37" t="s">
        <v>40</v>
      </c>
      <c r="E37" t="s">
        <v>15</v>
      </c>
      <c r="F37" t="s">
        <v>33</v>
      </c>
      <c r="G37" t="s">
        <v>17</v>
      </c>
      <c r="H37" t="s">
        <v>41</v>
      </c>
      <c r="I37">
        <v>4921</v>
      </c>
      <c r="J37">
        <v>0.25</v>
      </c>
      <c r="K37">
        <v>1230.25</v>
      </c>
      <c r="L37" t="s">
        <v>19</v>
      </c>
      <c r="M37" t="s">
        <v>26</v>
      </c>
      <c r="N37" t="s">
        <v>21</v>
      </c>
    </row>
    <row r="38" spans="1:14" x14ac:dyDescent="0.3">
      <c r="A38" s="2">
        <v>44956</v>
      </c>
      <c r="B38" t="str">
        <f>TEXT(tblSales[[#This Row],[Date]],"MMMM")</f>
        <v>January</v>
      </c>
      <c r="C38" t="str">
        <f>TEXT(tblSales[[#This Row],[Date]],"YYYY")</f>
        <v>2023</v>
      </c>
      <c r="D38" t="s">
        <v>51</v>
      </c>
      <c r="E38" t="s">
        <v>35</v>
      </c>
      <c r="F38" t="s">
        <v>23</v>
      </c>
      <c r="G38" t="s">
        <v>24</v>
      </c>
      <c r="H38" t="s">
        <v>31</v>
      </c>
      <c r="I38">
        <v>2289</v>
      </c>
      <c r="J38">
        <v>0.4</v>
      </c>
      <c r="K38">
        <v>915.6</v>
      </c>
      <c r="L38" t="s">
        <v>19</v>
      </c>
      <c r="M38" t="s">
        <v>26</v>
      </c>
      <c r="N38" t="s">
        <v>32</v>
      </c>
    </row>
    <row r="39" spans="1:14" x14ac:dyDescent="0.3">
      <c r="A39" s="2">
        <v>44944</v>
      </c>
      <c r="B39" t="str">
        <f>TEXT(tblSales[[#This Row],[Date]],"MMMM")</f>
        <v>January</v>
      </c>
      <c r="C39" t="str">
        <f>TEXT(tblSales[[#This Row],[Date]],"YYYY")</f>
        <v>2023</v>
      </c>
      <c r="D39" t="s">
        <v>42</v>
      </c>
      <c r="E39" t="s">
        <v>15</v>
      </c>
      <c r="F39" t="s">
        <v>16</v>
      </c>
      <c r="G39" t="s">
        <v>17</v>
      </c>
      <c r="H39" t="s">
        <v>36</v>
      </c>
      <c r="I39">
        <v>4896</v>
      </c>
      <c r="J39">
        <v>0.4</v>
      </c>
      <c r="K39">
        <v>1958.4</v>
      </c>
      <c r="L39" t="s">
        <v>19</v>
      </c>
      <c r="M39" t="s">
        <v>20</v>
      </c>
      <c r="N39" t="s">
        <v>37</v>
      </c>
    </row>
    <row r="40" spans="1:14" x14ac:dyDescent="0.3">
      <c r="A40" s="2">
        <v>44959</v>
      </c>
      <c r="B40" t="str">
        <f>TEXT(tblSales[[#This Row],[Date]],"MMMM")</f>
        <v>February</v>
      </c>
      <c r="C40" t="str">
        <f>TEXT(tblSales[[#This Row],[Date]],"YYYY")</f>
        <v>2023</v>
      </c>
      <c r="D40" t="s">
        <v>22</v>
      </c>
      <c r="E40" t="s">
        <v>15</v>
      </c>
      <c r="F40" t="s">
        <v>23</v>
      </c>
      <c r="G40" t="s">
        <v>24</v>
      </c>
      <c r="H40" t="s">
        <v>38</v>
      </c>
      <c r="I40">
        <v>3070</v>
      </c>
      <c r="J40">
        <v>0.4</v>
      </c>
      <c r="K40">
        <v>1228</v>
      </c>
      <c r="L40" t="s">
        <v>25</v>
      </c>
      <c r="M40" t="s">
        <v>29</v>
      </c>
      <c r="N40" t="s">
        <v>32</v>
      </c>
    </row>
    <row r="41" spans="1:14" x14ac:dyDescent="0.3">
      <c r="A41" s="2">
        <v>44997</v>
      </c>
      <c r="B41" t="str">
        <f>TEXT(tblSales[[#This Row],[Date]],"MMMM")</f>
        <v>March</v>
      </c>
      <c r="C41" t="str">
        <f>TEXT(tblSales[[#This Row],[Date]],"YYYY")</f>
        <v>2023</v>
      </c>
      <c r="D41" t="s">
        <v>47</v>
      </c>
      <c r="E41" t="s">
        <v>35</v>
      </c>
      <c r="F41" t="s">
        <v>23</v>
      </c>
      <c r="G41" t="s">
        <v>24</v>
      </c>
      <c r="H41" t="s">
        <v>31</v>
      </c>
      <c r="I41">
        <v>2755</v>
      </c>
      <c r="J41">
        <v>0.25</v>
      </c>
      <c r="K41">
        <v>688.75</v>
      </c>
      <c r="L41" t="s">
        <v>25</v>
      </c>
      <c r="M41" t="s">
        <v>29</v>
      </c>
      <c r="N41" t="s">
        <v>27</v>
      </c>
    </row>
    <row r="42" spans="1:14" x14ac:dyDescent="0.3">
      <c r="A42" s="2">
        <v>44971</v>
      </c>
      <c r="B42" t="str">
        <f>TEXT(tblSales[[#This Row],[Date]],"MMMM")</f>
        <v>February</v>
      </c>
      <c r="C42" t="str">
        <f>TEXT(tblSales[[#This Row],[Date]],"YYYY")</f>
        <v>2023</v>
      </c>
      <c r="D42" t="s">
        <v>46</v>
      </c>
      <c r="E42" t="s">
        <v>15</v>
      </c>
      <c r="F42" t="s">
        <v>23</v>
      </c>
      <c r="G42" t="s">
        <v>24</v>
      </c>
      <c r="H42" t="s">
        <v>36</v>
      </c>
      <c r="I42">
        <v>2137</v>
      </c>
      <c r="J42">
        <v>0.4</v>
      </c>
      <c r="K42">
        <v>854.8</v>
      </c>
      <c r="L42" t="s">
        <v>19</v>
      </c>
      <c r="M42" t="s">
        <v>29</v>
      </c>
      <c r="N42" t="s">
        <v>37</v>
      </c>
    </row>
    <row r="43" spans="1:14" x14ac:dyDescent="0.3">
      <c r="A43" s="2">
        <v>45004</v>
      </c>
      <c r="B43" t="str">
        <f>TEXT(tblSales[[#This Row],[Date]],"MMMM")</f>
        <v>March</v>
      </c>
      <c r="C43" t="str">
        <f>TEXT(tblSales[[#This Row],[Date]],"YYYY")</f>
        <v>2023</v>
      </c>
      <c r="D43" t="s">
        <v>28</v>
      </c>
      <c r="E43" t="s">
        <v>35</v>
      </c>
      <c r="F43" t="s">
        <v>16</v>
      </c>
      <c r="G43" t="s">
        <v>17</v>
      </c>
      <c r="H43" t="s">
        <v>36</v>
      </c>
      <c r="I43">
        <v>5638</v>
      </c>
      <c r="J43">
        <v>0.4</v>
      </c>
      <c r="K43">
        <v>2255.1999999999998</v>
      </c>
      <c r="L43" t="s">
        <v>19</v>
      </c>
      <c r="M43" t="s">
        <v>26</v>
      </c>
      <c r="N43" t="s">
        <v>32</v>
      </c>
    </row>
    <row r="44" spans="1:14" x14ac:dyDescent="0.3">
      <c r="A44" s="2">
        <v>45002</v>
      </c>
      <c r="B44" t="str">
        <f>TEXT(tblSales[[#This Row],[Date]],"MMMM")</f>
        <v>March</v>
      </c>
      <c r="C44" t="str">
        <f>TEXT(tblSales[[#This Row],[Date]],"YYYY")</f>
        <v>2023</v>
      </c>
      <c r="D44" t="s">
        <v>48</v>
      </c>
      <c r="E44" t="s">
        <v>15</v>
      </c>
      <c r="F44" t="s">
        <v>43</v>
      </c>
      <c r="G44" t="s">
        <v>30</v>
      </c>
      <c r="H44" t="s">
        <v>18</v>
      </c>
      <c r="I44">
        <v>3236</v>
      </c>
      <c r="J44">
        <v>0.25</v>
      </c>
      <c r="K44">
        <v>809</v>
      </c>
      <c r="L44" t="s">
        <v>19</v>
      </c>
      <c r="M44" t="s">
        <v>26</v>
      </c>
      <c r="N44" t="s">
        <v>32</v>
      </c>
    </row>
    <row r="45" spans="1:14" x14ac:dyDescent="0.3">
      <c r="A45" s="2">
        <v>44970</v>
      </c>
      <c r="B45" t="str">
        <f>TEXT(tblSales[[#This Row],[Date]],"MMMM")</f>
        <v>February</v>
      </c>
      <c r="C45" t="str">
        <f>TEXT(tblSales[[#This Row],[Date]],"YYYY")</f>
        <v>2023</v>
      </c>
      <c r="D45" t="s">
        <v>44</v>
      </c>
      <c r="E45" t="s">
        <v>35</v>
      </c>
      <c r="F45" t="s">
        <v>29</v>
      </c>
      <c r="G45" t="s">
        <v>30</v>
      </c>
      <c r="H45" t="s">
        <v>31</v>
      </c>
      <c r="I45">
        <v>2864</v>
      </c>
      <c r="J45">
        <v>0.35</v>
      </c>
      <c r="K45">
        <v>1002.4</v>
      </c>
      <c r="L45" t="s">
        <v>19</v>
      </c>
      <c r="M45" t="s">
        <v>29</v>
      </c>
      <c r="N45" t="s">
        <v>27</v>
      </c>
    </row>
    <row r="46" spans="1:14" x14ac:dyDescent="0.3">
      <c r="A46" s="2">
        <v>44949</v>
      </c>
      <c r="B46" t="str">
        <f>TEXT(tblSales[[#This Row],[Date]],"MMMM")</f>
        <v>January</v>
      </c>
      <c r="C46" t="str">
        <f>TEXT(tblSales[[#This Row],[Date]],"YYYY")</f>
        <v>2023</v>
      </c>
      <c r="D46" t="s">
        <v>48</v>
      </c>
      <c r="E46" t="s">
        <v>35</v>
      </c>
      <c r="F46" t="s">
        <v>33</v>
      </c>
      <c r="G46" t="s">
        <v>17</v>
      </c>
      <c r="H46" t="s">
        <v>18</v>
      </c>
      <c r="I46">
        <v>2091</v>
      </c>
      <c r="J46">
        <v>0.4</v>
      </c>
      <c r="K46">
        <v>836.4</v>
      </c>
      <c r="L46" t="s">
        <v>25</v>
      </c>
      <c r="M46" t="s">
        <v>26</v>
      </c>
      <c r="N46" t="s">
        <v>21</v>
      </c>
    </row>
    <row r="47" spans="1:14" x14ac:dyDescent="0.3">
      <c r="A47" s="2">
        <v>44965</v>
      </c>
      <c r="B47" t="str">
        <f>TEXT(tblSales[[#This Row],[Date]],"MMMM")</f>
        <v>February</v>
      </c>
      <c r="C47" t="str">
        <f>TEXT(tblSales[[#This Row],[Date]],"YYYY")</f>
        <v>2023</v>
      </c>
      <c r="D47" t="s">
        <v>39</v>
      </c>
      <c r="E47" t="s">
        <v>35</v>
      </c>
      <c r="F47" t="s">
        <v>43</v>
      </c>
      <c r="G47" t="s">
        <v>30</v>
      </c>
      <c r="H47" t="s">
        <v>36</v>
      </c>
      <c r="I47">
        <v>5630</v>
      </c>
      <c r="J47">
        <v>0.35</v>
      </c>
      <c r="K47">
        <v>1970.5</v>
      </c>
      <c r="L47" t="s">
        <v>25</v>
      </c>
      <c r="M47" t="s">
        <v>26</v>
      </c>
      <c r="N47" t="s">
        <v>21</v>
      </c>
    </row>
    <row r="48" spans="1:14" x14ac:dyDescent="0.3">
      <c r="A48" s="2">
        <v>44983</v>
      </c>
      <c r="B48" t="str">
        <f>TEXT(tblSales[[#This Row],[Date]],"MMMM")</f>
        <v>February</v>
      </c>
      <c r="C48" t="str">
        <f>TEXT(tblSales[[#This Row],[Date]],"YYYY")</f>
        <v>2023</v>
      </c>
      <c r="D48" t="s">
        <v>39</v>
      </c>
      <c r="E48" t="s">
        <v>35</v>
      </c>
      <c r="F48" t="s">
        <v>23</v>
      </c>
      <c r="G48" t="s">
        <v>24</v>
      </c>
      <c r="H48" t="s">
        <v>38</v>
      </c>
      <c r="I48">
        <v>2854</v>
      </c>
      <c r="J48">
        <v>0.4</v>
      </c>
      <c r="K48">
        <v>1141.5999999999999</v>
      </c>
      <c r="L48" t="s">
        <v>19</v>
      </c>
      <c r="M48" t="s">
        <v>20</v>
      </c>
      <c r="N48" t="s">
        <v>37</v>
      </c>
    </row>
    <row r="49" spans="1:14" x14ac:dyDescent="0.3">
      <c r="A49" s="2">
        <v>44985</v>
      </c>
      <c r="B49" t="str">
        <f>TEXT(tblSales[[#This Row],[Date]],"MMMM")</f>
        <v>February</v>
      </c>
      <c r="C49" t="str">
        <f>TEXT(tblSales[[#This Row],[Date]],"YYYY")</f>
        <v>2023</v>
      </c>
      <c r="D49" t="s">
        <v>44</v>
      </c>
      <c r="E49" t="s">
        <v>15</v>
      </c>
      <c r="F49" t="s">
        <v>16</v>
      </c>
      <c r="G49" t="s">
        <v>17</v>
      </c>
      <c r="H49" t="s">
        <v>36</v>
      </c>
      <c r="I49">
        <v>4553</v>
      </c>
      <c r="J49">
        <v>0.4</v>
      </c>
      <c r="K49">
        <v>1821.2</v>
      </c>
      <c r="L49" t="s">
        <v>25</v>
      </c>
      <c r="M49" t="s">
        <v>26</v>
      </c>
      <c r="N49" t="s">
        <v>21</v>
      </c>
    </row>
    <row r="50" spans="1:14" x14ac:dyDescent="0.3">
      <c r="A50" s="2">
        <v>44991</v>
      </c>
      <c r="B50" t="str">
        <f>TEXT(tblSales[[#This Row],[Date]],"MMMM")</f>
        <v>March</v>
      </c>
      <c r="C50" t="str">
        <f>TEXT(tblSales[[#This Row],[Date]],"YYYY")</f>
        <v>2023</v>
      </c>
      <c r="D50" t="s">
        <v>48</v>
      </c>
      <c r="E50" t="s">
        <v>15</v>
      </c>
      <c r="F50" t="s">
        <v>23</v>
      </c>
      <c r="G50" t="s">
        <v>24</v>
      </c>
      <c r="H50" t="s">
        <v>36</v>
      </c>
      <c r="I50">
        <v>2890</v>
      </c>
      <c r="J50">
        <v>0.3</v>
      </c>
      <c r="K50">
        <v>867</v>
      </c>
      <c r="L50" t="s">
        <v>25</v>
      </c>
      <c r="M50" t="s">
        <v>26</v>
      </c>
      <c r="N50" t="s">
        <v>32</v>
      </c>
    </row>
    <row r="51" spans="1:14" x14ac:dyDescent="0.3">
      <c r="A51" s="2">
        <v>44987</v>
      </c>
      <c r="B51" t="str">
        <f>TEXT(tblSales[[#This Row],[Date]],"MMMM")</f>
        <v>March</v>
      </c>
      <c r="C51" t="str">
        <f>TEXT(tblSales[[#This Row],[Date]],"YYYY")</f>
        <v>2023</v>
      </c>
      <c r="D51" t="s">
        <v>28</v>
      </c>
      <c r="E51" t="s">
        <v>35</v>
      </c>
      <c r="F51" t="s">
        <v>16</v>
      </c>
      <c r="G51" t="s">
        <v>17</v>
      </c>
      <c r="H51" t="s">
        <v>18</v>
      </c>
      <c r="I51">
        <v>2412</v>
      </c>
      <c r="J51">
        <v>0.35</v>
      </c>
      <c r="K51">
        <v>844.2</v>
      </c>
      <c r="L51" t="s">
        <v>25</v>
      </c>
      <c r="M51" t="s">
        <v>20</v>
      </c>
      <c r="N51" t="s">
        <v>27</v>
      </c>
    </row>
    <row r="52" spans="1:14" x14ac:dyDescent="0.3">
      <c r="A52" s="2">
        <v>45005</v>
      </c>
      <c r="B52" t="str">
        <f>TEXT(tblSales[[#This Row],[Date]],"MMMM")</f>
        <v>March</v>
      </c>
      <c r="C52" t="str">
        <f>TEXT(tblSales[[#This Row],[Date]],"YYYY")</f>
        <v>2023</v>
      </c>
      <c r="D52" t="s">
        <v>46</v>
      </c>
      <c r="E52" t="s">
        <v>15</v>
      </c>
      <c r="F52" t="s">
        <v>23</v>
      </c>
      <c r="G52" t="s">
        <v>24</v>
      </c>
      <c r="H52" t="s">
        <v>41</v>
      </c>
      <c r="I52">
        <v>4314</v>
      </c>
      <c r="J52">
        <v>0.35</v>
      </c>
      <c r="K52">
        <v>1509.9</v>
      </c>
      <c r="L52" t="s">
        <v>25</v>
      </c>
      <c r="M52" t="s">
        <v>20</v>
      </c>
      <c r="N52" t="s">
        <v>27</v>
      </c>
    </row>
    <row r="53" spans="1:14" x14ac:dyDescent="0.3">
      <c r="A53" s="2">
        <v>44938</v>
      </c>
      <c r="B53" t="str">
        <f>TEXT(tblSales[[#This Row],[Date]],"MMMM")</f>
        <v>January</v>
      </c>
      <c r="C53" t="str">
        <f>TEXT(tblSales[[#This Row],[Date]],"YYYY")</f>
        <v>2023</v>
      </c>
      <c r="D53" t="s">
        <v>48</v>
      </c>
      <c r="E53" t="s">
        <v>35</v>
      </c>
      <c r="F53" t="s">
        <v>23</v>
      </c>
      <c r="G53" t="s">
        <v>24</v>
      </c>
      <c r="H53" t="s">
        <v>41</v>
      </c>
      <c r="I53">
        <v>5286</v>
      </c>
      <c r="J53">
        <v>0.4</v>
      </c>
      <c r="K53">
        <v>2114.4</v>
      </c>
      <c r="L53" t="s">
        <v>25</v>
      </c>
      <c r="M53" t="s">
        <v>26</v>
      </c>
      <c r="N53" t="s">
        <v>21</v>
      </c>
    </row>
    <row r="54" spans="1:14" x14ac:dyDescent="0.3">
      <c r="A54" s="2">
        <v>44941</v>
      </c>
      <c r="B54" t="str">
        <f>TEXT(tblSales[[#This Row],[Date]],"MMMM")</f>
        <v>January</v>
      </c>
      <c r="C54" t="str">
        <f>TEXT(tblSales[[#This Row],[Date]],"YYYY")</f>
        <v>2023</v>
      </c>
      <c r="D54" t="s">
        <v>48</v>
      </c>
      <c r="E54" t="s">
        <v>15</v>
      </c>
      <c r="F54" t="s">
        <v>16</v>
      </c>
      <c r="G54" t="s">
        <v>17</v>
      </c>
      <c r="H54" t="s">
        <v>38</v>
      </c>
      <c r="I54">
        <v>4070</v>
      </c>
      <c r="J54">
        <v>0.35</v>
      </c>
      <c r="K54">
        <v>1424.5</v>
      </c>
      <c r="L54" t="s">
        <v>25</v>
      </c>
      <c r="M54" t="s">
        <v>20</v>
      </c>
      <c r="N54" t="s">
        <v>27</v>
      </c>
    </row>
    <row r="55" spans="1:14" x14ac:dyDescent="0.3">
      <c r="A55" s="2">
        <v>44938</v>
      </c>
      <c r="B55" t="str">
        <f>TEXT(tblSales[[#This Row],[Date]],"MMMM")</f>
        <v>January</v>
      </c>
      <c r="C55" t="str">
        <f>TEXT(tblSales[[#This Row],[Date]],"YYYY")</f>
        <v>2023</v>
      </c>
      <c r="D55" t="s">
        <v>50</v>
      </c>
      <c r="E55" t="s">
        <v>15</v>
      </c>
      <c r="F55" t="s">
        <v>29</v>
      </c>
      <c r="G55" t="s">
        <v>30</v>
      </c>
      <c r="H55" t="s">
        <v>31</v>
      </c>
      <c r="I55">
        <v>2680</v>
      </c>
      <c r="J55">
        <v>0.3</v>
      </c>
      <c r="K55">
        <v>804</v>
      </c>
      <c r="L55" t="s">
        <v>19</v>
      </c>
      <c r="M55" t="s">
        <v>29</v>
      </c>
      <c r="N55" t="s">
        <v>21</v>
      </c>
    </row>
    <row r="56" spans="1:14" x14ac:dyDescent="0.3">
      <c r="A56" s="2">
        <v>44939</v>
      </c>
      <c r="B56" t="str">
        <f>TEXT(tblSales[[#This Row],[Date]],"MMMM")</f>
        <v>January</v>
      </c>
      <c r="C56" t="str">
        <f>TEXT(tblSales[[#This Row],[Date]],"YYYY")</f>
        <v>2023</v>
      </c>
      <c r="D56" t="s">
        <v>39</v>
      </c>
      <c r="E56" t="s">
        <v>15</v>
      </c>
      <c r="F56" t="s">
        <v>23</v>
      </c>
      <c r="G56" t="s">
        <v>24</v>
      </c>
      <c r="H56" t="s">
        <v>31</v>
      </c>
      <c r="I56">
        <v>3824</v>
      </c>
      <c r="J56">
        <v>0.4</v>
      </c>
      <c r="K56">
        <v>1529.6</v>
      </c>
      <c r="L56" t="s">
        <v>19</v>
      </c>
      <c r="M56" t="s">
        <v>29</v>
      </c>
      <c r="N56" t="s">
        <v>27</v>
      </c>
    </row>
    <row r="57" spans="1:14" x14ac:dyDescent="0.3">
      <c r="A57" s="2">
        <v>44937</v>
      </c>
      <c r="B57" t="str">
        <f>TEXT(tblSales[[#This Row],[Date]],"MMMM")</f>
        <v>January</v>
      </c>
      <c r="C57" t="str">
        <f>TEXT(tblSales[[#This Row],[Date]],"YYYY")</f>
        <v>2023</v>
      </c>
      <c r="D57" t="s">
        <v>34</v>
      </c>
      <c r="E57" t="s">
        <v>35</v>
      </c>
      <c r="F57" t="s">
        <v>43</v>
      </c>
      <c r="G57" t="s">
        <v>30</v>
      </c>
      <c r="H57" t="s">
        <v>18</v>
      </c>
      <c r="I57">
        <v>4690</v>
      </c>
      <c r="J57">
        <v>0.3</v>
      </c>
      <c r="K57">
        <v>1407</v>
      </c>
      <c r="L57" t="s">
        <v>25</v>
      </c>
      <c r="M57" t="s">
        <v>20</v>
      </c>
      <c r="N57" t="s">
        <v>21</v>
      </c>
    </row>
    <row r="58" spans="1:14" x14ac:dyDescent="0.3">
      <c r="A58" s="2">
        <v>45002</v>
      </c>
      <c r="B58" t="str">
        <f>TEXT(tblSales[[#This Row],[Date]],"MMMM")</f>
        <v>March</v>
      </c>
      <c r="C58" t="str">
        <f>TEXT(tblSales[[#This Row],[Date]],"YYYY")</f>
        <v>2023</v>
      </c>
      <c r="D58" t="s">
        <v>39</v>
      </c>
      <c r="E58" t="s">
        <v>15</v>
      </c>
      <c r="F58" t="s">
        <v>33</v>
      </c>
      <c r="G58" t="s">
        <v>17</v>
      </c>
      <c r="H58" t="s">
        <v>41</v>
      </c>
      <c r="I58">
        <v>5915</v>
      </c>
      <c r="J58">
        <v>0.35</v>
      </c>
      <c r="K58">
        <v>2070.25</v>
      </c>
      <c r="L58" t="s">
        <v>19</v>
      </c>
      <c r="M58" t="s">
        <v>26</v>
      </c>
      <c r="N58" t="s">
        <v>32</v>
      </c>
    </row>
    <row r="59" spans="1:14" x14ac:dyDescent="0.3">
      <c r="A59" s="2">
        <v>44943</v>
      </c>
      <c r="B59" t="str">
        <f>TEXT(tblSales[[#This Row],[Date]],"MMMM")</f>
        <v>January</v>
      </c>
      <c r="C59" t="str">
        <f>TEXT(tblSales[[#This Row],[Date]],"YYYY")</f>
        <v>2023</v>
      </c>
      <c r="D59" t="s">
        <v>44</v>
      </c>
      <c r="E59" t="s">
        <v>15</v>
      </c>
      <c r="F59" t="s">
        <v>16</v>
      </c>
      <c r="G59" t="s">
        <v>17</v>
      </c>
      <c r="H59" t="s">
        <v>41</v>
      </c>
      <c r="I59">
        <v>5971</v>
      </c>
      <c r="J59">
        <v>0.35</v>
      </c>
      <c r="K59">
        <v>2089.85</v>
      </c>
      <c r="L59" t="s">
        <v>19</v>
      </c>
      <c r="M59" t="s">
        <v>29</v>
      </c>
      <c r="N59" t="s">
        <v>37</v>
      </c>
    </row>
    <row r="60" spans="1:14" x14ac:dyDescent="0.3">
      <c r="A60" s="2">
        <v>44936</v>
      </c>
      <c r="B60" t="str">
        <f>TEXT(tblSales[[#This Row],[Date]],"MMMM")</f>
        <v>January</v>
      </c>
      <c r="C60" t="str">
        <f>TEXT(tblSales[[#This Row],[Date]],"YYYY")</f>
        <v>2023</v>
      </c>
      <c r="D60" t="s">
        <v>44</v>
      </c>
      <c r="E60" t="s">
        <v>35</v>
      </c>
      <c r="F60" t="s">
        <v>23</v>
      </c>
      <c r="G60" t="s">
        <v>24</v>
      </c>
      <c r="H60" t="s">
        <v>36</v>
      </c>
      <c r="I60">
        <v>2457</v>
      </c>
      <c r="J60">
        <v>0.25</v>
      </c>
      <c r="K60">
        <v>614.25</v>
      </c>
      <c r="L60" t="s">
        <v>19</v>
      </c>
      <c r="M60" t="s">
        <v>29</v>
      </c>
      <c r="N60" t="s">
        <v>21</v>
      </c>
    </row>
    <row r="61" spans="1:14" x14ac:dyDescent="0.3">
      <c r="A61" s="2">
        <v>44937</v>
      </c>
      <c r="B61" t="str">
        <f>TEXT(tblSales[[#This Row],[Date]],"MMMM")</f>
        <v>January</v>
      </c>
      <c r="C61" t="str">
        <f>TEXT(tblSales[[#This Row],[Date]],"YYYY")</f>
        <v>2023</v>
      </c>
      <c r="D61" t="s">
        <v>22</v>
      </c>
      <c r="E61" t="s">
        <v>35</v>
      </c>
      <c r="F61" t="s">
        <v>43</v>
      </c>
      <c r="G61" t="s">
        <v>30</v>
      </c>
      <c r="H61" t="s">
        <v>18</v>
      </c>
      <c r="I61">
        <v>2716</v>
      </c>
      <c r="J61">
        <v>0.3</v>
      </c>
      <c r="K61">
        <v>814.8</v>
      </c>
      <c r="L61" t="s">
        <v>25</v>
      </c>
      <c r="M61" t="s">
        <v>29</v>
      </c>
      <c r="N61" t="s">
        <v>32</v>
      </c>
    </row>
    <row r="62" spans="1:14" x14ac:dyDescent="0.3">
      <c r="A62" s="2">
        <v>45004</v>
      </c>
      <c r="B62" t="str">
        <f>TEXT(tblSales[[#This Row],[Date]],"MMMM")</f>
        <v>March</v>
      </c>
      <c r="C62" t="str">
        <f>TEXT(tblSales[[#This Row],[Date]],"YYYY")</f>
        <v>2023</v>
      </c>
      <c r="D62" t="s">
        <v>45</v>
      </c>
      <c r="E62" t="s">
        <v>15</v>
      </c>
      <c r="F62" t="s">
        <v>43</v>
      </c>
      <c r="G62" t="s">
        <v>30</v>
      </c>
      <c r="H62" t="s">
        <v>38</v>
      </c>
      <c r="I62">
        <v>5954</v>
      </c>
      <c r="J62">
        <v>0.35</v>
      </c>
      <c r="K62">
        <v>2083.9</v>
      </c>
      <c r="L62" t="s">
        <v>19</v>
      </c>
      <c r="M62" t="s">
        <v>20</v>
      </c>
      <c r="N62" t="s">
        <v>37</v>
      </c>
    </row>
    <row r="63" spans="1:14" x14ac:dyDescent="0.3">
      <c r="A63" s="2">
        <v>44979</v>
      </c>
      <c r="B63" t="str">
        <f>TEXT(tblSales[[#This Row],[Date]],"MMMM")</f>
        <v>February</v>
      </c>
      <c r="C63" t="str">
        <f>TEXT(tblSales[[#This Row],[Date]],"YYYY")</f>
        <v>2023</v>
      </c>
      <c r="D63" t="s">
        <v>51</v>
      </c>
      <c r="E63" t="s">
        <v>35</v>
      </c>
      <c r="F63" t="s">
        <v>43</v>
      </c>
      <c r="G63" t="s">
        <v>30</v>
      </c>
      <c r="H63" t="s">
        <v>41</v>
      </c>
      <c r="I63">
        <v>2129</v>
      </c>
      <c r="J63">
        <v>0.35</v>
      </c>
      <c r="K63">
        <v>745.15</v>
      </c>
      <c r="L63" t="s">
        <v>25</v>
      </c>
      <c r="M63" t="s">
        <v>20</v>
      </c>
      <c r="N63" t="s">
        <v>37</v>
      </c>
    </row>
    <row r="64" spans="1:14" x14ac:dyDescent="0.3">
      <c r="A64" s="2">
        <v>44985</v>
      </c>
      <c r="B64" t="str">
        <f>TEXT(tblSales[[#This Row],[Date]],"MMMM")</f>
        <v>February</v>
      </c>
      <c r="C64" t="str">
        <f>TEXT(tblSales[[#This Row],[Date]],"YYYY")</f>
        <v>2023</v>
      </c>
      <c r="D64" t="s">
        <v>48</v>
      </c>
      <c r="E64" t="s">
        <v>15</v>
      </c>
      <c r="F64" t="s">
        <v>29</v>
      </c>
      <c r="G64" t="s">
        <v>30</v>
      </c>
      <c r="H64" t="s">
        <v>36</v>
      </c>
      <c r="I64">
        <v>3303</v>
      </c>
      <c r="J64">
        <v>0.35</v>
      </c>
      <c r="K64">
        <v>1156.05</v>
      </c>
      <c r="L64" t="s">
        <v>19</v>
      </c>
      <c r="M64" t="s">
        <v>20</v>
      </c>
      <c r="N64" t="s">
        <v>32</v>
      </c>
    </row>
    <row r="65" spans="1:14" x14ac:dyDescent="0.3">
      <c r="A65" s="2">
        <v>44930</v>
      </c>
      <c r="B65" t="str">
        <f>TEXT(tblSales[[#This Row],[Date]],"MMMM")</f>
        <v>January</v>
      </c>
      <c r="C65" t="str">
        <f>TEXT(tblSales[[#This Row],[Date]],"YYYY")</f>
        <v>2023</v>
      </c>
      <c r="D65" t="s">
        <v>44</v>
      </c>
      <c r="E65" t="s">
        <v>15</v>
      </c>
      <c r="F65" t="s">
        <v>23</v>
      </c>
      <c r="G65" t="s">
        <v>24</v>
      </c>
      <c r="H65" t="s">
        <v>18</v>
      </c>
      <c r="I65">
        <v>3379</v>
      </c>
      <c r="J65">
        <v>0.35</v>
      </c>
      <c r="K65">
        <v>1182.6500000000001</v>
      </c>
      <c r="L65" t="s">
        <v>19</v>
      </c>
      <c r="M65" t="s">
        <v>20</v>
      </c>
      <c r="N65" t="s">
        <v>27</v>
      </c>
    </row>
    <row r="66" spans="1:14" x14ac:dyDescent="0.3">
      <c r="A66" s="2">
        <v>44997</v>
      </c>
      <c r="B66" t="str">
        <f>TEXT(tblSales[[#This Row],[Date]],"MMMM")</f>
        <v>March</v>
      </c>
      <c r="C66" t="str">
        <f>TEXT(tblSales[[#This Row],[Date]],"YYYY")</f>
        <v>2023</v>
      </c>
      <c r="D66" t="s">
        <v>39</v>
      </c>
      <c r="E66" t="s">
        <v>15</v>
      </c>
      <c r="F66" t="s">
        <v>29</v>
      </c>
      <c r="G66" t="s">
        <v>30</v>
      </c>
      <c r="H66" t="s">
        <v>18</v>
      </c>
      <c r="I66">
        <v>3657</v>
      </c>
      <c r="J66">
        <v>0.3</v>
      </c>
      <c r="K66">
        <v>1097.0999999999999</v>
      </c>
      <c r="L66" t="s">
        <v>19</v>
      </c>
      <c r="M66" t="s">
        <v>29</v>
      </c>
      <c r="N66" t="s">
        <v>32</v>
      </c>
    </row>
    <row r="67" spans="1:14" x14ac:dyDescent="0.3">
      <c r="A67" s="2">
        <v>44997</v>
      </c>
      <c r="B67" t="str">
        <f>TEXT(tblSales[[#This Row],[Date]],"MMMM")</f>
        <v>March</v>
      </c>
      <c r="C67" t="str">
        <f>TEXT(tblSales[[#This Row],[Date]],"YYYY")</f>
        <v>2023</v>
      </c>
      <c r="D67" t="s">
        <v>22</v>
      </c>
      <c r="E67" t="s">
        <v>35</v>
      </c>
      <c r="F67" t="s">
        <v>29</v>
      </c>
      <c r="G67" t="s">
        <v>30</v>
      </c>
      <c r="H67" t="s">
        <v>36</v>
      </c>
      <c r="I67">
        <v>2163</v>
      </c>
      <c r="J67">
        <v>0.4</v>
      </c>
      <c r="K67">
        <v>865.2</v>
      </c>
      <c r="L67" t="s">
        <v>19</v>
      </c>
      <c r="M67" t="s">
        <v>26</v>
      </c>
      <c r="N67" t="s">
        <v>32</v>
      </c>
    </row>
    <row r="68" spans="1:14" x14ac:dyDescent="0.3">
      <c r="A68" s="2">
        <v>44930</v>
      </c>
      <c r="B68" t="str">
        <f>TEXT(tblSales[[#This Row],[Date]],"MMMM")</f>
        <v>January</v>
      </c>
      <c r="C68" t="str">
        <f>TEXT(tblSales[[#This Row],[Date]],"YYYY")</f>
        <v>2023</v>
      </c>
      <c r="D68" t="s">
        <v>49</v>
      </c>
      <c r="E68" t="s">
        <v>35</v>
      </c>
      <c r="F68" t="s">
        <v>33</v>
      </c>
      <c r="G68" t="s">
        <v>17</v>
      </c>
      <c r="H68" t="s">
        <v>36</v>
      </c>
      <c r="I68">
        <v>4378</v>
      </c>
      <c r="J68">
        <v>0.3</v>
      </c>
      <c r="K68">
        <v>1313.4</v>
      </c>
      <c r="L68" t="s">
        <v>25</v>
      </c>
      <c r="M68" t="s">
        <v>26</v>
      </c>
      <c r="N68" t="s">
        <v>37</v>
      </c>
    </row>
    <row r="69" spans="1:14" x14ac:dyDescent="0.3">
      <c r="A69" s="2">
        <v>44940</v>
      </c>
      <c r="B69" t="str">
        <f>TEXT(tblSales[[#This Row],[Date]],"MMMM")</f>
        <v>January</v>
      </c>
      <c r="C69" t="str">
        <f>TEXT(tblSales[[#This Row],[Date]],"YYYY")</f>
        <v>2023</v>
      </c>
      <c r="D69" t="s">
        <v>46</v>
      </c>
      <c r="E69" t="s">
        <v>15</v>
      </c>
      <c r="F69" t="s">
        <v>29</v>
      </c>
      <c r="G69" t="s">
        <v>30</v>
      </c>
      <c r="H69" t="s">
        <v>31</v>
      </c>
      <c r="I69">
        <v>2506</v>
      </c>
      <c r="J69">
        <v>0.3</v>
      </c>
      <c r="K69">
        <v>751.8</v>
      </c>
      <c r="L69" t="s">
        <v>19</v>
      </c>
      <c r="M69" t="s">
        <v>29</v>
      </c>
      <c r="N69" t="s">
        <v>21</v>
      </c>
    </row>
    <row r="70" spans="1:14" x14ac:dyDescent="0.3">
      <c r="A70" s="2">
        <v>44942</v>
      </c>
      <c r="B70" t="str">
        <f>TEXT(tblSales[[#This Row],[Date]],"MMMM")</f>
        <v>January</v>
      </c>
      <c r="C70" t="str">
        <f>TEXT(tblSales[[#This Row],[Date]],"YYYY")</f>
        <v>2023</v>
      </c>
      <c r="D70" t="s">
        <v>34</v>
      </c>
      <c r="E70" t="s">
        <v>35</v>
      </c>
      <c r="F70" t="s">
        <v>23</v>
      </c>
      <c r="G70" t="s">
        <v>24</v>
      </c>
      <c r="H70" t="s">
        <v>41</v>
      </c>
      <c r="I70">
        <v>5040</v>
      </c>
      <c r="J70">
        <v>0.35</v>
      </c>
      <c r="K70">
        <v>1764</v>
      </c>
      <c r="L70" t="s">
        <v>19</v>
      </c>
      <c r="M70" t="s">
        <v>20</v>
      </c>
      <c r="N70" t="s">
        <v>32</v>
      </c>
    </row>
    <row r="71" spans="1:14" x14ac:dyDescent="0.3">
      <c r="A71" s="2">
        <v>44968</v>
      </c>
      <c r="B71" t="str">
        <f>TEXT(tblSales[[#This Row],[Date]],"MMMM")</f>
        <v>February</v>
      </c>
      <c r="C71" t="str">
        <f>TEXT(tblSales[[#This Row],[Date]],"YYYY")</f>
        <v>2023</v>
      </c>
      <c r="D71" t="s">
        <v>46</v>
      </c>
      <c r="E71" t="s">
        <v>15</v>
      </c>
      <c r="F71" t="s">
        <v>23</v>
      </c>
      <c r="G71" t="s">
        <v>24</v>
      </c>
      <c r="H71" t="s">
        <v>41</v>
      </c>
      <c r="I71">
        <v>2299</v>
      </c>
      <c r="J71">
        <v>0.25</v>
      </c>
      <c r="K71">
        <v>574.75</v>
      </c>
      <c r="L71" t="s">
        <v>25</v>
      </c>
      <c r="M71" t="s">
        <v>20</v>
      </c>
      <c r="N71" t="s">
        <v>21</v>
      </c>
    </row>
    <row r="72" spans="1:14" x14ac:dyDescent="0.3">
      <c r="A72" s="2">
        <v>44975</v>
      </c>
      <c r="B72" t="str">
        <f>TEXT(tblSales[[#This Row],[Date]],"MMMM")</f>
        <v>February</v>
      </c>
      <c r="C72" t="str">
        <f>TEXT(tblSales[[#This Row],[Date]],"YYYY")</f>
        <v>2023</v>
      </c>
      <c r="D72" t="s">
        <v>28</v>
      </c>
      <c r="E72" t="s">
        <v>15</v>
      </c>
      <c r="F72" t="s">
        <v>33</v>
      </c>
      <c r="G72" t="s">
        <v>17</v>
      </c>
      <c r="H72" t="s">
        <v>41</v>
      </c>
      <c r="I72">
        <v>3822</v>
      </c>
      <c r="J72">
        <v>0.3</v>
      </c>
      <c r="K72">
        <v>1146.5999999999999</v>
      </c>
      <c r="L72" t="s">
        <v>19</v>
      </c>
      <c r="M72" t="s">
        <v>26</v>
      </c>
      <c r="N72" t="s">
        <v>37</v>
      </c>
    </row>
    <row r="73" spans="1:14" x14ac:dyDescent="0.3">
      <c r="A73" s="2">
        <v>44983</v>
      </c>
      <c r="B73" t="str">
        <f>TEXT(tblSales[[#This Row],[Date]],"MMMM")</f>
        <v>February</v>
      </c>
      <c r="C73" t="str">
        <f>TEXT(tblSales[[#This Row],[Date]],"YYYY")</f>
        <v>2023</v>
      </c>
      <c r="D73" t="s">
        <v>46</v>
      </c>
      <c r="E73" t="s">
        <v>15</v>
      </c>
      <c r="F73" t="s">
        <v>33</v>
      </c>
      <c r="G73" t="s">
        <v>17</v>
      </c>
      <c r="H73" t="s">
        <v>41</v>
      </c>
      <c r="I73">
        <v>2873</v>
      </c>
      <c r="J73">
        <v>0.35</v>
      </c>
      <c r="K73">
        <v>1005.55</v>
      </c>
      <c r="L73" t="s">
        <v>19</v>
      </c>
      <c r="M73" t="s">
        <v>29</v>
      </c>
      <c r="N73" t="s">
        <v>37</v>
      </c>
    </row>
    <row r="74" spans="1:14" x14ac:dyDescent="0.3">
      <c r="A74" s="2">
        <v>44997</v>
      </c>
      <c r="B74" t="str">
        <f>TEXT(tblSales[[#This Row],[Date]],"MMMM")</f>
        <v>March</v>
      </c>
      <c r="C74" t="str">
        <f>TEXT(tblSales[[#This Row],[Date]],"YYYY")</f>
        <v>2023</v>
      </c>
      <c r="D74" t="s">
        <v>50</v>
      </c>
      <c r="E74" t="s">
        <v>35</v>
      </c>
      <c r="F74" t="s">
        <v>16</v>
      </c>
      <c r="G74" t="s">
        <v>17</v>
      </c>
      <c r="H74" t="s">
        <v>31</v>
      </c>
      <c r="I74">
        <v>5754</v>
      </c>
      <c r="J74">
        <v>0.25</v>
      </c>
      <c r="K74">
        <v>1438.5</v>
      </c>
      <c r="L74" t="s">
        <v>19</v>
      </c>
      <c r="M74" t="s">
        <v>26</v>
      </c>
      <c r="N74" t="s">
        <v>21</v>
      </c>
    </row>
    <row r="75" spans="1:14" x14ac:dyDescent="0.3">
      <c r="A75" s="2">
        <v>45001</v>
      </c>
      <c r="B75" t="str">
        <f>TEXT(tblSales[[#This Row],[Date]],"MMMM")</f>
        <v>March</v>
      </c>
      <c r="C75" t="str">
        <f>TEXT(tblSales[[#This Row],[Date]],"YYYY")</f>
        <v>2023</v>
      </c>
      <c r="D75" t="s">
        <v>28</v>
      </c>
      <c r="E75" t="s">
        <v>35</v>
      </c>
      <c r="F75" t="s">
        <v>29</v>
      </c>
      <c r="G75" t="s">
        <v>30</v>
      </c>
      <c r="H75" t="s">
        <v>31</v>
      </c>
      <c r="I75">
        <v>2728</v>
      </c>
      <c r="J75">
        <v>0.25</v>
      </c>
      <c r="K75">
        <v>682</v>
      </c>
      <c r="L75" t="s">
        <v>25</v>
      </c>
      <c r="M75" t="s">
        <v>20</v>
      </c>
      <c r="N75" t="s">
        <v>32</v>
      </c>
    </row>
    <row r="76" spans="1:14" x14ac:dyDescent="0.3">
      <c r="A76" s="2">
        <v>44960</v>
      </c>
      <c r="B76" t="str">
        <f>TEXT(tblSales[[#This Row],[Date]],"MMMM")</f>
        <v>February</v>
      </c>
      <c r="C76" t="str">
        <f>TEXT(tblSales[[#This Row],[Date]],"YYYY")</f>
        <v>2023</v>
      </c>
      <c r="D76" t="s">
        <v>39</v>
      </c>
      <c r="E76" t="s">
        <v>15</v>
      </c>
      <c r="F76" t="s">
        <v>29</v>
      </c>
      <c r="G76" t="s">
        <v>30</v>
      </c>
      <c r="H76" t="s">
        <v>18</v>
      </c>
      <c r="I76">
        <v>5039</v>
      </c>
      <c r="J76">
        <v>0.35</v>
      </c>
      <c r="K76">
        <v>1763.65</v>
      </c>
      <c r="L76" t="s">
        <v>25</v>
      </c>
      <c r="M76" t="s">
        <v>20</v>
      </c>
      <c r="N76" t="s">
        <v>27</v>
      </c>
    </row>
    <row r="77" spans="1:14" x14ac:dyDescent="0.3">
      <c r="A77" s="2">
        <v>44999</v>
      </c>
      <c r="B77" t="str">
        <f>TEXT(tblSales[[#This Row],[Date]],"MMMM")</f>
        <v>March</v>
      </c>
      <c r="C77" t="str">
        <f>TEXT(tblSales[[#This Row],[Date]],"YYYY")</f>
        <v>2023</v>
      </c>
      <c r="D77" t="s">
        <v>22</v>
      </c>
      <c r="E77" t="s">
        <v>15</v>
      </c>
      <c r="F77" t="s">
        <v>33</v>
      </c>
      <c r="G77" t="s">
        <v>17</v>
      </c>
      <c r="H77" t="s">
        <v>31</v>
      </c>
      <c r="I77">
        <v>3851</v>
      </c>
      <c r="J77">
        <v>0.3</v>
      </c>
      <c r="K77">
        <v>1155.3</v>
      </c>
      <c r="L77" t="s">
        <v>25</v>
      </c>
      <c r="M77" t="s">
        <v>29</v>
      </c>
      <c r="N77" t="s">
        <v>21</v>
      </c>
    </row>
    <row r="78" spans="1:14" x14ac:dyDescent="0.3">
      <c r="A78" s="2">
        <v>44928</v>
      </c>
      <c r="B78" t="str">
        <f>TEXT(tblSales[[#This Row],[Date]],"MMMM")</f>
        <v>January</v>
      </c>
      <c r="C78" t="str">
        <f>TEXT(tblSales[[#This Row],[Date]],"YYYY")</f>
        <v>2023</v>
      </c>
      <c r="D78" t="s">
        <v>46</v>
      </c>
      <c r="E78" t="s">
        <v>35</v>
      </c>
      <c r="F78" t="s">
        <v>16</v>
      </c>
      <c r="G78" t="s">
        <v>17</v>
      </c>
      <c r="H78" t="s">
        <v>41</v>
      </c>
      <c r="I78">
        <v>2656</v>
      </c>
      <c r="J78">
        <v>0.25</v>
      </c>
      <c r="K78">
        <v>664</v>
      </c>
      <c r="L78" t="s">
        <v>19</v>
      </c>
      <c r="M78" t="s">
        <v>26</v>
      </c>
      <c r="N78" t="s">
        <v>37</v>
      </c>
    </row>
    <row r="79" spans="1:14" x14ac:dyDescent="0.3">
      <c r="A79" s="2">
        <v>44955</v>
      </c>
      <c r="B79" t="str">
        <f>TEXT(tblSales[[#This Row],[Date]],"MMMM")</f>
        <v>January</v>
      </c>
      <c r="C79" t="str">
        <f>TEXT(tblSales[[#This Row],[Date]],"YYYY")</f>
        <v>2023</v>
      </c>
      <c r="D79" t="s">
        <v>42</v>
      </c>
      <c r="E79" t="s">
        <v>15</v>
      </c>
      <c r="F79" t="s">
        <v>33</v>
      </c>
      <c r="G79" t="s">
        <v>17</v>
      </c>
      <c r="H79" t="s">
        <v>36</v>
      </c>
      <c r="I79">
        <v>3485</v>
      </c>
      <c r="J79">
        <v>0.4</v>
      </c>
      <c r="K79">
        <v>1394</v>
      </c>
      <c r="L79" t="s">
        <v>25</v>
      </c>
      <c r="M79" t="s">
        <v>20</v>
      </c>
      <c r="N79" t="s">
        <v>27</v>
      </c>
    </row>
    <row r="80" spans="1:14" x14ac:dyDescent="0.3">
      <c r="A80" s="2">
        <v>44992</v>
      </c>
      <c r="B80" t="str">
        <f>TEXT(tblSales[[#This Row],[Date]],"MMMM")</f>
        <v>March</v>
      </c>
      <c r="C80" t="str">
        <f>TEXT(tblSales[[#This Row],[Date]],"YYYY")</f>
        <v>2023</v>
      </c>
      <c r="D80" t="s">
        <v>39</v>
      </c>
      <c r="E80" t="s">
        <v>15</v>
      </c>
      <c r="F80" t="s">
        <v>29</v>
      </c>
      <c r="G80" t="s">
        <v>30</v>
      </c>
      <c r="H80" t="s">
        <v>38</v>
      </c>
      <c r="I80">
        <v>4252</v>
      </c>
      <c r="J80">
        <v>0.4</v>
      </c>
      <c r="K80">
        <v>1700.8</v>
      </c>
      <c r="L80" t="s">
        <v>19</v>
      </c>
      <c r="M80" t="s">
        <v>26</v>
      </c>
      <c r="N80" t="s">
        <v>21</v>
      </c>
    </row>
    <row r="81" spans="1:14" x14ac:dyDescent="0.3">
      <c r="A81" s="2">
        <v>44997</v>
      </c>
      <c r="B81" t="str">
        <f>TEXT(tblSales[[#This Row],[Date]],"MMMM")</f>
        <v>March</v>
      </c>
      <c r="C81" t="str">
        <f>TEXT(tblSales[[#This Row],[Date]],"YYYY")</f>
        <v>2023</v>
      </c>
      <c r="D81" t="s">
        <v>48</v>
      </c>
      <c r="E81" t="s">
        <v>35</v>
      </c>
      <c r="F81" t="s">
        <v>33</v>
      </c>
      <c r="G81" t="s">
        <v>17</v>
      </c>
      <c r="H81" t="s">
        <v>38</v>
      </c>
      <c r="I81">
        <v>2790</v>
      </c>
      <c r="J81">
        <v>0.3</v>
      </c>
      <c r="K81">
        <v>837</v>
      </c>
      <c r="L81" t="s">
        <v>25</v>
      </c>
      <c r="M81" t="s">
        <v>20</v>
      </c>
      <c r="N81" t="s">
        <v>32</v>
      </c>
    </row>
    <row r="82" spans="1:14" x14ac:dyDescent="0.3">
      <c r="A82" s="2">
        <v>44982</v>
      </c>
      <c r="B82" t="str">
        <f>TEXT(tblSales[[#This Row],[Date]],"MMMM")</f>
        <v>February</v>
      </c>
      <c r="C82" t="str">
        <f>TEXT(tblSales[[#This Row],[Date]],"YYYY")</f>
        <v>2023</v>
      </c>
      <c r="D82" t="s">
        <v>22</v>
      </c>
      <c r="E82" t="s">
        <v>35</v>
      </c>
      <c r="F82" t="s">
        <v>43</v>
      </c>
      <c r="G82" t="s">
        <v>30</v>
      </c>
      <c r="H82" t="s">
        <v>36</v>
      </c>
      <c r="I82">
        <v>2458</v>
      </c>
      <c r="J82">
        <v>0.3</v>
      </c>
      <c r="K82">
        <v>737.4</v>
      </c>
      <c r="L82" t="s">
        <v>25</v>
      </c>
      <c r="M82" t="s">
        <v>29</v>
      </c>
      <c r="N82" t="s">
        <v>27</v>
      </c>
    </row>
    <row r="83" spans="1:14" x14ac:dyDescent="0.3">
      <c r="A83" s="2">
        <v>44971</v>
      </c>
      <c r="B83" t="str">
        <f>TEXT(tblSales[[#This Row],[Date]],"MMMM")</f>
        <v>February</v>
      </c>
      <c r="C83" t="str">
        <f>TEXT(tblSales[[#This Row],[Date]],"YYYY")</f>
        <v>2023</v>
      </c>
      <c r="D83" t="s">
        <v>45</v>
      </c>
      <c r="E83" t="s">
        <v>35</v>
      </c>
      <c r="F83" t="s">
        <v>16</v>
      </c>
      <c r="G83" t="s">
        <v>17</v>
      </c>
      <c r="H83" t="s">
        <v>38</v>
      </c>
      <c r="I83">
        <v>4899</v>
      </c>
      <c r="J83">
        <v>0.25</v>
      </c>
      <c r="K83">
        <v>1224.75</v>
      </c>
      <c r="L83" t="s">
        <v>25</v>
      </c>
      <c r="M83" t="s">
        <v>20</v>
      </c>
      <c r="N83" t="s">
        <v>37</v>
      </c>
    </row>
    <row r="84" spans="1:14" x14ac:dyDescent="0.3">
      <c r="A84" s="2">
        <v>45015</v>
      </c>
      <c r="B84" t="str">
        <f>TEXT(tblSales[[#This Row],[Date]],"MMMM")</f>
        <v>March</v>
      </c>
      <c r="C84" t="str">
        <f>TEXT(tblSales[[#This Row],[Date]],"YYYY")</f>
        <v>2023</v>
      </c>
      <c r="D84" t="s">
        <v>22</v>
      </c>
      <c r="E84" t="s">
        <v>15</v>
      </c>
      <c r="F84" t="s">
        <v>43</v>
      </c>
      <c r="G84" t="s">
        <v>30</v>
      </c>
      <c r="H84" t="s">
        <v>38</v>
      </c>
      <c r="I84">
        <v>5463</v>
      </c>
      <c r="J84">
        <v>0.35</v>
      </c>
      <c r="K84">
        <v>1912.05</v>
      </c>
      <c r="L84" t="s">
        <v>19</v>
      </c>
      <c r="M84" t="s">
        <v>29</v>
      </c>
      <c r="N84" t="s">
        <v>32</v>
      </c>
    </row>
    <row r="85" spans="1:14" x14ac:dyDescent="0.3">
      <c r="A85" s="2">
        <v>44996</v>
      </c>
      <c r="B85" t="str">
        <f>TEXT(tblSales[[#This Row],[Date]],"MMMM")</f>
        <v>March</v>
      </c>
      <c r="C85" t="str">
        <f>TEXT(tblSales[[#This Row],[Date]],"YYYY")</f>
        <v>2023</v>
      </c>
      <c r="D85" t="s">
        <v>46</v>
      </c>
      <c r="E85" t="s">
        <v>15</v>
      </c>
      <c r="F85" t="s">
        <v>29</v>
      </c>
      <c r="G85" t="s">
        <v>30</v>
      </c>
      <c r="H85" t="s">
        <v>41</v>
      </c>
      <c r="I85">
        <v>4809</v>
      </c>
      <c r="J85">
        <v>0.3</v>
      </c>
      <c r="K85">
        <v>1442.7</v>
      </c>
      <c r="L85" t="s">
        <v>25</v>
      </c>
      <c r="M85" t="s">
        <v>29</v>
      </c>
      <c r="N85" t="s">
        <v>37</v>
      </c>
    </row>
    <row r="86" spans="1:14" x14ac:dyDescent="0.3">
      <c r="A86" s="2">
        <v>45005</v>
      </c>
      <c r="B86" t="str">
        <f>TEXT(tblSales[[#This Row],[Date]],"MMMM")</f>
        <v>March</v>
      </c>
      <c r="C86" t="str">
        <f>TEXT(tblSales[[#This Row],[Date]],"YYYY")</f>
        <v>2023</v>
      </c>
      <c r="D86" t="s">
        <v>48</v>
      </c>
      <c r="E86" t="s">
        <v>35</v>
      </c>
      <c r="F86" t="s">
        <v>43</v>
      </c>
      <c r="G86" t="s">
        <v>30</v>
      </c>
      <c r="H86" t="s">
        <v>31</v>
      </c>
      <c r="I86">
        <v>2398</v>
      </c>
      <c r="J86">
        <v>0.35</v>
      </c>
      <c r="K86">
        <v>839.3</v>
      </c>
      <c r="L86" t="s">
        <v>19</v>
      </c>
      <c r="M86" t="s">
        <v>26</v>
      </c>
      <c r="N86" t="s">
        <v>37</v>
      </c>
    </row>
    <row r="87" spans="1:14" x14ac:dyDescent="0.3">
      <c r="A87" s="2">
        <v>44996</v>
      </c>
      <c r="B87" t="str">
        <f>TEXT(tblSales[[#This Row],[Date]],"MMMM")</f>
        <v>March</v>
      </c>
      <c r="C87" t="str">
        <f>TEXT(tblSales[[#This Row],[Date]],"YYYY")</f>
        <v>2023</v>
      </c>
      <c r="D87" t="s">
        <v>22</v>
      </c>
      <c r="E87" t="s">
        <v>15</v>
      </c>
      <c r="F87" t="s">
        <v>23</v>
      </c>
      <c r="G87" t="s">
        <v>24</v>
      </c>
      <c r="H87" t="s">
        <v>36</v>
      </c>
      <c r="I87">
        <v>5518</v>
      </c>
      <c r="J87">
        <v>0.25</v>
      </c>
      <c r="K87">
        <v>1379.5</v>
      </c>
      <c r="L87" t="s">
        <v>25</v>
      </c>
      <c r="M87" t="s">
        <v>29</v>
      </c>
      <c r="N87" t="s">
        <v>32</v>
      </c>
    </row>
    <row r="88" spans="1:14" x14ac:dyDescent="0.3">
      <c r="A88" s="2">
        <v>44930</v>
      </c>
      <c r="B88" t="str">
        <f>TEXT(tblSales[[#This Row],[Date]],"MMMM")</f>
        <v>January</v>
      </c>
      <c r="C88" t="str">
        <f>TEXT(tblSales[[#This Row],[Date]],"YYYY")</f>
        <v>2023</v>
      </c>
      <c r="D88" t="s">
        <v>45</v>
      </c>
      <c r="E88" t="s">
        <v>15</v>
      </c>
      <c r="F88" t="s">
        <v>43</v>
      </c>
      <c r="G88" t="s">
        <v>30</v>
      </c>
      <c r="H88" t="s">
        <v>36</v>
      </c>
      <c r="I88">
        <v>5806</v>
      </c>
      <c r="J88">
        <v>0.25</v>
      </c>
      <c r="K88">
        <v>1451.5</v>
      </c>
      <c r="L88" t="s">
        <v>19</v>
      </c>
      <c r="M88" t="s">
        <v>29</v>
      </c>
      <c r="N88" t="s">
        <v>37</v>
      </c>
    </row>
    <row r="89" spans="1:14" x14ac:dyDescent="0.3">
      <c r="A89" s="2">
        <v>44976</v>
      </c>
      <c r="B89" t="str">
        <f>TEXT(tblSales[[#This Row],[Date]],"MMMM")</f>
        <v>February</v>
      </c>
      <c r="C89" t="str">
        <f>TEXT(tblSales[[#This Row],[Date]],"YYYY")</f>
        <v>2023</v>
      </c>
      <c r="D89" t="s">
        <v>50</v>
      </c>
      <c r="E89" t="s">
        <v>35</v>
      </c>
      <c r="F89" t="s">
        <v>29</v>
      </c>
      <c r="G89" t="s">
        <v>30</v>
      </c>
      <c r="H89" t="s">
        <v>41</v>
      </c>
      <c r="I89">
        <v>5245</v>
      </c>
      <c r="J89">
        <v>0.3</v>
      </c>
      <c r="K89">
        <v>1573.5</v>
      </c>
      <c r="L89" t="s">
        <v>25</v>
      </c>
      <c r="M89" t="s">
        <v>20</v>
      </c>
      <c r="N89" t="s">
        <v>21</v>
      </c>
    </row>
    <row r="90" spans="1:14" x14ac:dyDescent="0.3">
      <c r="A90" s="2">
        <v>44975</v>
      </c>
      <c r="B90" t="str">
        <f>TEXT(tblSales[[#This Row],[Date]],"MMMM")</f>
        <v>February</v>
      </c>
      <c r="C90" t="str">
        <f>TEXT(tblSales[[#This Row],[Date]],"YYYY")</f>
        <v>2023</v>
      </c>
      <c r="D90" t="s">
        <v>39</v>
      </c>
      <c r="E90" t="s">
        <v>35</v>
      </c>
      <c r="F90" t="s">
        <v>43</v>
      </c>
      <c r="G90" t="s">
        <v>30</v>
      </c>
      <c r="H90" t="s">
        <v>31</v>
      </c>
      <c r="I90">
        <v>5235</v>
      </c>
      <c r="J90">
        <v>0.4</v>
      </c>
      <c r="K90">
        <v>2094</v>
      </c>
      <c r="L90" t="s">
        <v>25</v>
      </c>
      <c r="M90" t="s">
        <v>20</v>
      </c>
      <c r="N90" t="s">
        <v>27</v>
      </c>
    </row>
    <row r="91" spans="1:14" x14ac:dyDescent="0.3">
      <c r="A91" s="2">
        <v>45016</v>
      </c>
      <c r="B91" t="str">
        <f>TEXT(tblSales[[#This Row],[Date]],"MMMM")</f>
        <v>March</v>
      </c>
      <c r="C91" t="str">
        <f>TEXT(tblSales[[#This Row],[Date]],"YYYY")</f>
        <v>2023</v>
      </c>
      <c r="D91" t="s">
        <v>47</v>
      </c>
      <c r="E91" t="s">
        <v>15</v>
      </c>
      <c r="F91" t="s">
        <v>23</v>
      </c>
      <c r="G91" t="s">
        <v>24</v>
      </c>
      <c r="H91" t="s">
        <v>18</v>
      </c>
      <c r="I91">
        <v>3064</v>
      </c>
      <c r="J91">
        <v>0.3</v>
      </c>
      <c r="K91">
        <v>919.2</v>
      </c>
      <c r="L91" t="s">
        <v>19</v>
      </c>
      <c r="M91" t="s">
        <v>29</v>
      </c>
      <c r="N91" t="s">
        <v>27</v>
      </c>
    </row>
    <row r="92" spans="1:14" x14ac:dyDescent="0.3">
      <c r="A92" s="2">
        <v>44975</v>
      </c>
      <c r="B92" t="str">
        <f>TEXT(tblSales[[#This Row],[Date]],"MMMM")</f>
        <v>February</v>
      </c>
      <c r="C92" t="str">
        <f>TEXT(tblSales[[#This Row],[Date]],"YYYY")</f>
        <v>2023</v>
      </c>
      <c r="D92" t="s">
        <v>51</v>
      </c>
      <c r="E92" t="s">
        <v>15</v>
      </c>
      <c r="F92" t="s">
        <v>16</v>
      </c>
      <c r="G92" t="s">
        <v>17</v>
      </c>
      <c r="H92" t="s">
        <v>18</v>
      </c>
      <c r="I92">
        <v>4145</v>
      </c>
      <c r="J92">
        <v>0.3</v>
      </c>
      <c r="K92">
        <v>1243.5</v>
      </c>
      <c r="L92" t="s">
        <v>25</v>
      </c>
      <c r="M92" t="s">
        <v>20</v>
      </c>
      <c r="N92" t="s">
        <v>32</v>
      </c>
    </row>
    <row r="93" spans="1:14" x14ac:dyDescent="0.3">
      <c r="A93" s="2">
        <v>44943</v>
      </c>
      <c r="B93" t="str">
        <f>TEXT(tblSales[[#This Row],[Date]],"MMMM")</f>
        <v>January</v>
      </c>
      <c r="C93" t="str">
        <f>TEXT(tblSales[[#This Row],[Date]],"YYYY")</f>
        <v>2023</v>
      </c>
      <c r="D93" t="s">
        <v>40</v>
      </c>
      <c r="E93" t="s">
        <v>35</v>
      </c>
      <c r="F93" t="s">
        <v>29</v>
      </c>
      <c r="G93" t="s">
        <v>30</v>
      </c>
      <c r="H93" t="s">
        <v>36</v>
      </c>
      <c r="I93">
        <v>4734</v>
      </c>
      <c r="J93">
        <v>0.3</v>
      </c>
      <c r="K93">
        <v>1420.2</v>
      </c>
      <c r="L93" t="s">
        <v>19</v>
      </c>
      <c r="M93" t="s">
        <v>20</v>
      </c>
      <c r="N93" t="s">
        <v>32</v>
      </c>
    </row>
    <row r="94" spans="1:14" x14ac:dyDescent="0.3">
      <c r="A94" s="2">
        <v>45004</v>
      </c>
      <c r="B94" t="str">
        <f>TEXT(tblSales[[#This Row],[Date]],"MMMM")</f>
        <v>March</v>
      </c>
      <c r="C94" t="str">
        <f>TEXT(tblSales[[#This Row],[Date]],"YYYY")</f>
        <v>2023</v>
      </c>
      <c r="D94" t="s">
        <v>48</v>
      </c>
      <c r="E94" t="s">
        <v>35</v>
      </c>
      <c r="F94" t="s">
        <v>16</v>
      </c>
      <c r="G94" t="s">
        <v>17</v>
      </c>
      <c r="H94" t="s">
        <v>41</v>
      </c>
      <c r="I94">
        <v>5842</v>
      </c>
      <c r="J94">
        <v>0.4</v>
      </c>
      <c r="K94">
        <v>2336.8000000000002</v>
      </c>
      <c r="L94" t="s">
        <v>25</v>
      </c>
      <c r="M94" t="s">
        <v>20</v>
      </c>
      <c r="N94" t="s">
        <v>37</v>
      </c>
    </row>
    <row r="95" spans="1:14" x14ac:dyDescent="0.3">
      <c r="A95" s="2">
        <v>44957</v>
      </c>
      <c r="B95" t="str">
        <f>TEXT(tblSales[[#This Row],[Date]],"MMMM")</f>
        <v>January</v>
      </c>
      <c r="C95" t="str">
        <f>TEXT(tblSales[[#This Row],[Date]],"YYYY")</f>
        <v>2023</v>
      </c>
      <c r="D95" t="s">
        <v>34</v>
      </c>
      <c r="E95" t="s">
        <v>35</v>
      </c>
      <c r="F95" t="s">
        <v>16</v>
      </c>
      <c r="G95" t="s">
        <v>17</v>
      </c>
      <c r="H95" t="s">
        <v>41</v>
      </c>
      <c r="I95">
        <v>3488</v>
      </c>
      <c r="J95">
        <v>0.25</v>
      </c>
      <c r="K95">
        <v>872</v>
      </c>
      <c r="L95" t="s">
        <v>25</v>
      </c>
      <c r="M95" t="s">
        <v>29</v>
      </c>
      <c r="N95" t="s">
        <v>37</v>
      </c>
    </row>
    <row r="96" spans="1:14" x14ac:dyDescent="0.3">
      <c r="A96" s="2">
        <v>45001</v>
      </c>
      <c r="B96" t="str">
        <f>TEXT(tblSales[[#This Row],[Date]],"MMMM")</f>
        <v>March</v>
      </c>
      <c r="C96" t="str">
        <f>TEXT(tblSales[[#This Row],[Date]],"YYYY")</f>
        <v>2023</v>
      </c>
      <c r="D96" t="s">
        <v>39</v>
      </c>
      <c r="E96" t="s">
        <v>15</v>
      </c>
      <c r="F96" t="s">
        <v>33</v>
      </c>
      <c r="G96" t="s">
        <v>17</v>
      </c>
      <c r="H96" t="s">
        <v>41</v>
      </c>
      <c r="I96">
        <v>2925</v>
      </c>
      <c r="J96">
        <v>0.4</v>
      </c>
      <c r="K96">
        <v>1170</v>
      </c>
      <c r="L96" t="s">
        <v>19</v>
      </c>
      <c r="M96" t="s">
        <v>20</v>
      </c>
      <c r="N96" t="s">
        <v>27</v>
      </c>
    </row>
    <row r="97" spans="1:14" x14ac:dyDescent="0.3">
      <c r="A97" s="2">
        <v>44975</v>
      </c>
      <c r="B97" t="str">
        <f>TEXT(tblSales[[#This Row],[Date]],"MMMM")</f>
        <v>February</v>
      </c>
      <c r="C97" t="str">
        <f>TEXT(tblSales[[#This Row],[Date]],"YYYY")</f>
        <v>2023</v>
      </c>
      <c r="D97" t="s">
        <v>48</v>
      </c>
      <c r="E97" t="s">
        <v>15</v>
      </c>
      <c r="F97" t="s">
        <v>33</v>
      </c>
      <c r="G97" t="s">
        <v>17</v>
      </c>
      <c r="H97" t="s">
        <v>18</v>
      </c>
      <c r="I97">
        <v>4829</v>
      </c>
      <c r="J97">
        <v>0.3</v>
      </c>
      <c r="K97">
        <v>1448.7</v>
      </c>
      <c r="L97" t="s">
        <v>19</v>
      </c>
      <c r="M97" t="s">
        <v>20</v>
      </c>
      <c r="N97" t="s">
        <v>21</v>
      </c>
    </row>
    <row r="98" spans="1:14" x14ac:dyDescent="0.3">
      <c r="A98" s="2">
        <v>44933</v>
      </c>
      <c r="B98" t="str">
        <f>TEXT(tblSales[[#This Row],[Date]],"MMMM")</f>
        <v>January</v>
      </c>
      <c r="C98" t="str">
        <f>TEXT(tblSales[[#This Row],[Date]],"YYYY")</f>
        <v>2023</v>
      </c>
      <c r="D98" t="s">
        <v>46</v>
      </c>
      <c r="E98" t="s">
        <v>35</v>
      </c>
      <c r="F98" t="s">
        <v>16</v>
      </c>
      <c r="G98" t="s">
        <v>17</v>
      </c>
      <c r="H98" t="s">
        <v>38</v>
      </c>
      <c r="I98">
        <v>3630</v>
      </c>
      <c r="J98">
        <v>0.35</v>
      </c>
      <c r="K98">
        <v>1270.5</v>
      </c>
      <c r="L98" t="s">
        <v>25</v>
      </c>
      <c r="M98" t="s">
        <v>26</v>
      </c>
      <c r="N98" t="s">
        <v>37</v>
      </c>
    </row>
    <row r="99" spans="1:14" x14ac:dyDescent="0.3">
      <c r="A99" s="2">
        <v>44995</v>
      </c>
      <c r="B99" t="str">
        <f>TEXT(tblSales[[#This Row],[Date]],"MMMM")</f>
        <v>March</v>
      </c>
      <c r="C99" t="str">
        <f>TEXT(tblSales[[#This Row],[Date]],"YYYY")</f>
        <v>2023</v>
      </c>
      <c r="D99" t="s">
        <v>14</v>
      </c>
      <c r="E99" t="s">
        <v>15</v>
      </c>
      <c r="F99" t="s">
        <v>16</v>
      </c>
      <c r="G99" t="s">
        <v>17</v>
      </c>
      <c r="H99" t="s">
        <v>31</v>
      </c>
      <c r="I99">
        <v>2436</v>
      </c>
      <c r="J99">
        <v>0.4</v>
      </c>
      <c r="K99">
        <v>974.4</v>
      </c>
      <c r="L99" t="s">
        <v>19</v>
      </c>
      <c r="M99" t="s">
        <v>20</v>
      </c>
      <c r="N99" t="s">
        <v>37</v>
      </c>
    </row>
    <row r="100" spans="1:14" x14ac:dyDescent="0.3">
      <c r="A100" s="2">
        <v>44974</v>
      </c>
      <c r="B100" t="str">
        <f>TEXT(tblSales[[#This Row],[Date]],"MMMM")</f>
        <v>February</v>
      </c>
      <c r="C100" t="str">
        <f>TEXT(tblSales[[#This Row],[Date]],"YYYY")</f>
        <v>2023</v>
      </c>
      <c r="D100" t="s">
        <v>50</v>
      </c>
      <c r="E100" t="s">
        <v>35</v>
      </c>
      <c r="F100" t="s">
        <v>23</v>
      </c>
      <c r="G100" t="s">
        <v>24</v>
      </c>
      <c r="H100" t="s">
        <v>36</v>
      </c>
      <c r="I100">
        <v>5225</v>
      </c>
      <c r="J100">
        <v>0.35</v>
      </c>
      <c r="K100">
        <v>1828.75</v>
      </c>
      <c r="L100" t="s">
        <v>19</v>
      </c>
      <c r="M100" t="s">
        <v>20</v>
      </c>
      <c r="N100" t="s">
        <v>37</v>
      </c>
    </row>
    <row r="101" spans="1:14" x14ac:dyDescent="0.3">
      <c r="A101" s="2">
        <v>45014</v>
      </c>
      <c r="B101" t="str">
        <f>TEXT(tblSales[[#This Row],[Date]],"MMMM")</f>
        <v>March</v>
      </c>
      <c r="C101" t="str">
        <f>TEXT(tblSales[[#This Row],[Date]],"YYYY")</f>
        <v>2023</v>
      </c>
      <c r="D101" t="s">
        <v>45</v>
      </c>
      <c r="E101" t="s">
        <v>15</v>
      </c>
      <c r="F101" t="s">
        <v>16</v>
      </c>
      <c r="G101" t="s">
        <v>17</v>
      </c>
      <c r="H101" t="s">
        <v>31</v>
      </c>
      <c r="I101">
        <v>4310</v>
      </c>
      <c r="J101">
        <v>0.25</v>
      </c>
      <c r="K101">
        <v>1077.5</v>
      </c>
      <c r="L101" t="s">
        <v>19</v>
      </c>
      <c r="M101" t="s">
        <v>29</v>
      </c>
      <c r="N101" t="s">
        <v>37</v>
      </c>
    </row>
    <row r="102" spans="1:14" x14ac:dyDescent="0.3">
      <c r="A102" s="2">
        <v>44941</v>
      </c>
      <c r="B102" t="str">
        <f>TEXT(tblSales[[#This Row],[Date]],"MMMM")</f>
        <v>January</v>
      </c>
      <c r="C102" t="str">
        <f>TEXT(tblSales[[#This Row],[Date]],"YYYY")</f>
        <v>2023</v>
      </c>
      <c r="D102" t="s">
        <v>47</v>
      </c>
      <c r="E102" t="s">
        <v>35</v>
      </c>
      <c r="F102" t="s">
        <v>23</v>
      </c>
      <c r="G102" t="s">
        <v>24</v>
      </c>
      <c r="H102" t="s">
        <v>38</v>
      </c>
      <c r="I102">
        <v>2852</v>
      </c>
      <c r="J102">
        <v>0.35</v>
      </c>
      <c r="K102">
        <v>998.2</v>
      </c>
      <c r="L102" t="s">
        <v>19</v>
      </c>
      <c r="M102" t="s">
        <v>29</v>
      </c>
      <c r="N102" t="s">
        <v>32</v>
      </c>
    </row>
    <row r="103" spans="1:14" x14ac:dyDescent="0.3">
      <c r="A103" s="2">
        <v>44996</v>
      </c>
      <c r="B103" t="str">
        <f>TEXT(tblSales[[#This Row],[Date]],"MMMM")</f>
        <v>March</v>
      </c>
      <c r="C103" t="str">
        <f>TEXT(tblSales[[#This Row],[Date]],"YYYY")</f>
        <v>2023</v>
      </c>
      <c r="D103" t="s">
        <v>14</v>
      </c>
      <c r="E103" t="s">
        <v>15</v>
      </c>
      <c r="F103" t="s">
        <v>23</v>
      </c>
      <c r="G103" t="s">
        <v>24</v>
      </c>
      <c r="H103" t="s">
        <v>36</v>
      </c>
      <c r="I103">
        <v>4012</v>
      </c>
      <c r="J103">
        <v>0.25</v>
      </c>
      <c r="K103">
        <v>1003</v>
      </c>
      <c r="L103" t="s">
        <v>19</v>
      </c>
      <c r="M103" t="s">
        <v>29</v>
      </c>
      <c r="N103" t="s">
        <v>21</v>
      </c>
    </row>
    <row r="104" spans="1:14" x14ac:dyDescent="0.3">
      <c r="A104" s="2">
        <v>45013</v>
      </c>
      <c r="B104" t="str">
        <f>TEXT(tblSales[[#This Row],[Date]],"MMMM")</f>
        <v>March</v>
      </c>
      <c r="C104" t="str">
        <f>TEXT(tblSales[[#This Row],[Date]],"YYYY")</f>
        <v>2023</v>
      </c>
      <c r="D104" t="s">
        <v>47</v>
      </c>
      <c r="E104" t="s">
        <v>15</v>
      </c>
      <c r="F104" t="s">
        <v>43</v>
      </c>
      <c r="G104" t="s">
        <v>30</v>
      </c>
      <c r="H104" t="s">
        <v>41</v>
      </c>
      <c r="I104">
        <v>2330</v>
      </c>
      <c r="J104">
        <v>0.25</v>
      </c>
      <c r="K104">
        <v>582.5</v>
      </c>
      <c r="L104" t="s">
        <v>25</v>
      </c>
      <c r="M104" t="s">
        <v>26</v>
      </c>
      <c r="N104" t="s">
        <v>27</v>
      </c>
    </row>
    <row r="105" spans="1:14" x14ac:dyDescent="0.3">
      <c r="A105" s="2">
        <v>44968</v>
      </c>
      <c r="B105" t="str">
        <f>TEXT(tblSales[[#This Row],[Date]],"MMMM")</f>
        <v>February</v>
      </c>
      <c r="C105" t="str">
        <f>TEXT(tblSales[[#This Row],[Date]],"YYYY")</f>
        <v>2023</v>
      </c>
      <c r="D105" t="s">
        <v>34</v>
      </c>
      <c r="E105" t="s">
        <v>15</v>
      </c>
      <c r="F105" t="s">
        <v>16</v>
      </c>
      <c r="G105" t="s">
        <v>17</v>
      </c>
      <c r="H105" t="s">
        <v>18</v>
      </c>
      <c r="I105">
        <v>3130</v>
      </c>
      <c r="J105">
        <v>0.4</v>
      </c>
      <c r="K105">
        <v>1252</v>
      </c>
      <c r="L105" t="s">
        <v>19</v>
      </c>
      <c r="M105" t="s">
        <v>20</v>
      </c>
      <c r="N105" t="s">
        <v>21</v>
      </c>
    </row>
    <row r="106" spans="1:14" x14ac:dyDescent="0.3">
      <c r="A106" s="2">
        <v>44929</v>
      </c>
      <c r="B106" t="str">
        <f>TEXT(tblSales[[#This Row],[Date]],"MMMM")</f>
        <v>January</v>
      </c>
      <c r="C106" t="str">
        <f>TEXT(tblSales[[#This Row],[Date]],"YYYY")</f>
        <v>2023</v>
      </c>
      <c r="D106" t="s">
        <v>28</v>
      </c>
      <c r="E106" t="s">
        <v>15</v>
      </c>
      <c r="F106" t="s">
        <v>29</v>
      </c>
      <c r="G106" t="s">
        <v>30</v>
      </c>
      <c r="H106" t="s">
        <v>36</v>
      </c>
      <c r="I106">
        <v>5022</v>
      </c>
      <c r="J106">
        <v>0.25</v>
      </c>
      <c r="K106">
        <v>1255.5</v>
      </c>
      <c r="L106" t="s">
        <v>25</v>
      </c>
      <c r="M106" t="s">
        <v>26</v>
      </c>
      <c r="N106" t="s">
        <v>21</v>
      </c>
    </row>
    <row r="107" spans="1:14" x14ac:dyDescent="0.3">
      <c r="A107" s="2">
        <v>45009</v>
      </c>
      <c r="B107" t="str">
        <f>TEXT(tblSales[[#This Row],[Date]],"MMMM")</f>
        <v>March</v>
      </c>
      <c r="C107" t="str">
        <f>TEXT(tblSales[[#This Row],[Date]],"YYYY")</f>
        <v>2023</v>
      </c>
      <c r="D107" t="s">
        <v>50</v>
      </c>
      <c r="E107" t="s">
        <v>15</v>
      </c>
      <c r="F107" t="s">
        <v>16</v>
      </c>
      <c r="G107" t="s">
        <v>17</v>
      </c>
      <c r="H107" t="s">
        <v>31</v>
      </c>
      <c r="I107">
        <v>5846</v>
      </c>
      <c r="J107">
        <v>0.35</v>
      </c>
      <c r="K107">
        <v>2046.1</v>
      </c>
      <c r="L107" t="s">
        <v>25</v>
      </c>
      <c r="M107" t="s">
        <v>26</v>
      </c>
      <c r="N107" t="s">
        <v>37</v>
      </c>
    </row>
    <row r="108" spans="1:14" x14ac:dyDescent="0.3">
      <c r="A108" s="2">
        <v>45016</v>
      </c>
      <c r="B108" t="str">
        <f>TEXT(tblSales[[#This Row],[Date]],"MMMM")</f>
        <v>March</v>
      </c>
      <c r="C108" t="str">
        <f>TEXT(tblSales[[#This Row],[Date]],"YYYY")</f>
        <v>2023</v>
      </c>
      <c r="D108" t="s">
        <v>49</v>
      </c>
      <c r="E108" t="s">
        <v>35</v>
      </c>
      <c r="F108" t="s">
        <v>16</v>
      </c>
      <c r="G108" t="s">
        <v>17</v>
      </c>
      <c r="H108" t="s">
        <v>36</v>
      </c>
      <c r="I108">
        <v>3695</v>
      </c>
      <c r="J108">
        <v>0.35</v>
      </c>
      <c r="K108">
        <v>1293.25</v>
      </c>
      <c r="L108" t="s">
        <v>19</v>
      </c>
      <c r="M108" t="s">
        <v>26</v>
      </c>
      <c r="N108" t="s">
        <v>21</v>
      </c>
    </row>
    <row r="109" spans="1:14" x14ac:dyDescent="0.3">
      <c r="A109" s="2">
        <v>44927</v>
      </c>
      <c r="B109" t="str">
        <f>TEXT(tblSales[[#This Row],[Date]],"MMMM")</f>
        <v>January</v>
      </c>
      <c r="C109" t="str">
        <f>TEXT(tblSales[[#This Row],[Date]],"YYYY")</f>
        <v>2023</v>
      </c>
      <c r="D109" t="s">
        <v>45</v>
      </c>
      <c r="E109" t="s">
        <v>35</v>
      </c>
      <c r="F109" t="s">
        <v>29</v>
      </c>
      <c r="G109" t="s">
        <v>30</v>
      </c>
      <c r="H109" t="s">
        <v>41</v>
      </c>
      <c r="I109">
        <v>5220</v>
      </c>
      <c r="J109">
        <v>0.4</v>
      </c>
      <c r="K109">
        <v>2088</v>
      </c>
      <c r="L109" t="s">
        <v>25</v>
      </c>
      <c r="M109" t="s">
        <v>29</v>
      </c>
      <c r="N109" t="s">
        <v>27</v>
      </c>
    </row>
    <row r="110" spans="1:14" x14ac:dyDescent="0.3">
      <c r="A110" s="2">
        <v>44971</v>
      </c>
      <c r="B110" t="str">
        <f>TEXT(tblSales[[#This Row],[Date]],"MMMM")</f>
        <v>February</v>
      </c>
      <c r="C110" t="str">
        <f>TEXT(tblSales[[#This Row],[Date]],"YYYY")</f>
        <v>2023</v>
      </c>
      <c r="D110" t="s">
        <v>50</v>
      </c>
      <c r="E110" t="s">
        <v>15</v>
      </c>
      <c r="F110" t="s">
        <v>29</v>
      </c>
      <c r="G110" t="s">
        <v>30</v>
      </c>
      <c r="H110" t="s">
        <v>31</v>
      </c>
      <c r="I110">
        <v>3479</v>
      </c>
      <c r="J110">
        <v>0.3</v>
      </c>
      <c r="K110">
        <v>1043.7</v>
      </c>
      <c r="L110" t="s">
        <v>19</v>
      </c>
      <c r="M110" t="s">
        <v>20</v>
      </c>
      <c r="N110" t="s">
        <v>37</v>
      </c>
    </row>
    <row r="111" spans="1:14" x14ac:dyDescent="0.3">
      <c r="A111" s="2">
        <v>44944</v>
      </c>
      <c r="B111" t="str">
        <f>TEXT(tblSales[[#This Row],[Date]],"MMMM")</f>
        <v>January</v>
      </c>
      <c r="C111" t="str">
        <f>TEXT(tblSales[[#This Row],[Date]],"YYYY")</f>
        <v>2023</v>
      </c>
      <c r="D111" t="s">
        <v>34</v>
      </c>
      <c r="E111" t="s">
        <v>15</v>
      </c>
      <c r="F111" t="s">
        <v>33</v>
      </c>
      <c r="G111" t="s">
        <v>17</v>
      </c>
      <c r="H111" t="s">
        <v>38</v>
      </c>
      <c r="I111">
        <v>2933</v>
      </c>
      <c r="J111">
        <v>0.4</v>
      </c>
      <c r="K111">
        <v>1173.2</v>
      </c>
      <c r="L111" t="s">
        <v>25</v>
      </c>
      <c r="M111" t="s">
        <v>20</v>
      </c>
      <c r="N111" t="s">
        <v>21</v>
      </c>
    </row>
    <row r="112" spans="1:14" x14ac:dyDescent="0.3">
      <c r="A112" s="2">
        <v>44978</v>
      </c>
      <c r="B112" t="str">
        <f>TEXT(tblSales[[#This Row],[Date]],"MMMM")</f>
        <v>February</v>
      </c>
      <c r="C112" t="str">
        <f>TEXT(tblSales[[#This Row],[Date]],"YYYY")</f>
        <v>2023</v>
      </c>
      <c r="D112" t="s">
        <v>28</v>
      </c>
      <c r="E112" t="s">
        <v>35</v>
      </c>
      <c r="F112" t="s">
        <v>43</v>
      </c>
      <c r="G112" t="s">
        <v>30</v>
      </c>
      <c r="H112" t="s">
        <v>41</v>
      </c>
      <c r="I112">
        <v>4768</v>
      </c>
      <c r="J112">
        <v>0.25</v>
      </c>
      <c r="K112">
        <v>1192</v>
      </c>
      <c r="L112" t="s">
        <v>25</v>
      </c>
      <c r="M112" t="s">
        <v>29</v>
      </c>
      <c r="N112" t="s">
        <v>21</v>
      </c>
    </row>
    <row r="113" spans="1:14" x14ac:dyDescent="0.3">
      <c r="A113" s="2">
        <v>44984</v>
      </c>
      <c r="B113" t="str">
        <f>TEXT(tblSales[[#This Row],[Date]],"MMMM")</f>
        <v>February</v>
      </c>
      <c r="C113" t="str">
        <f>TEXT(tblSales[[#This Row],[Date]],"YYYY")</f>
        <v>2023</v>
      </c>
      <c r="D113" t="s">
        <v>44</v>
      </c>
      <c r="E113" t="s">
        <v>35</v>
      </c>
      <c r="F113" t="s">
        <v>16</v>
      </c>
      <c r="G113" t="s">
        <v>17</v>
      </c>
      <c r="H113" t="s">
        <v>41</v>
      </c>
      <c r="I113">
        <v>4379</v>
      </c>
      <c r="J113">
        <v>0.4</v>
      </c>
      <c r="K113">
        <v>1751.6</v>
      </c>
      <c r="L113" t="s">
        <v>25</v>
      </c>
      <c r="M113" t="s">
        <v>29</v>
      </c>
      <c r="N113" t="s">
        <v>21</v>
      </c>
    </row>
    <row r="114" spans="1:14" x14ac:dyDescent="0.3">
      <c r="A114" s="2">
        <v>44936</v>
      </c>
      <c r="B114" t="str">
        <f>TEXT(tblSales[[#This Row],[Date]],"MMMM")</f>
        <v>January</v>
      </c>
      <c r="C114" t="str">
        <f>TEXT(tblSales[[#This Row],[Date]],"YYYY")</f>
        <v>2023</v>
      </c>
      <c r="D114" t="s">
        <v>50</v>
      </c>
      <c r="E114" t="s">
        <v>15</v>
      </c>
      <c r="F114" t="s">
        <v>23</v>
      </c>
      <c r="G114" t="s">
        <v>24</v>
      </c>
      <c r="H114" t="s">
        <v>36</v>
      </c>
      <c r="I114">
        <v>5352</v>
      </c>
      <c r="J114">
        <v>0.4</v>
      </c>
      <c r="K114">
        <v>2140.8000000000002</v>
      </c>
      <c r="L114" t="s">
        <v>19</v>
      </c>
      <c r="M114" t="s">
        <v>20</v>
      </c>
      <c r="N114" t="s">
        <v>32</v>
      </c>
    </row>
    <row r="115" spans="1:14" x14ac:dyDescent="0.3">
      <c r="A115" s="2">
        <v>45001</v>
      </c>
      <c r="B115" t="str">
        <f>TEXT(tblSales[[#This Row],[Date]],"MMMM")</f>
        <v>March</v>
      </c>
      <c r="C115" t="str">
        <f>TEXT(tblSales[[#This Row],[Date]],"YYYY")</f>
        <v>2023</v>
      </c>
      <c r="D115" t="s">
        <v>44</v>
      </c>
      <c r="E115" t="s">
        <v>35</v>
      </c>
      <c r="F115" t="s">
        <v>29</v>
      </c>
      <c r="G115" t="s">
        <v>30</v>
      </c>
      <c r="H115" t="s">
        <v>38</v>
      </c>
      <c r="I115">
        <v>4569</v>
      </c>
      <c r="J115">
        <v>0.3</v>
      </c>
      <c r="K115">
        <v>1370.7</v>
      </c>
      <c r="L115" t="s">
        <v>19</v>
      </c>
      <c r="M115" t="s">
        <v>29</v>
      </c>
      <c r="N115" t="s">
        <v>21</v>
      </c>
    </row>
    <row r="116" spans="1:14" x14ac:dyDescent="0.3">
      <c r="A116" s="2">
        <v>44994</v>
      </c>
      <c r="B116" t="str">
        <f>TEXT(tblSales[[#This Row],[Date]],"MMMM")</f>
        <v>March</v>
      </c>
      <c r="C116" t="str">
        <f>TEXT(tblSales[[#This Row],[Date]],"YYYY")</f>
        <v>2023</v>
      </c>
      <c r="D116" t="s">
        <v>40</v>
      </c>
      <c r="E116" t="s">
        <v>15</v>
      </c>
      <c r="F116" t="s">
        <v>33</v>
      </c>
      <c r="G116" t="s">
        <v>17</v>
      </c>
      <c r="H116" t="s">
        <v>18</v>
      </c>
      <c r="I116">
        <v>2629</v>
      </c>
      <c r="J116">
        <v>0.35</v>
      </c>
      <c r="K116">
        <v>920.15</v>
      </c>
      <c r="L116" t="s">
        <v>19</v>
      </c>
      <c r="M116" t="s">
        <v>20</v>
      </c>
      <c r="N116" t="s">
        <v>27</v>
      </c>
    </row>
    <row r="117" spans="1:14" x14ac:dyDescent="0.3">
      <c r="A117" s="2">
        <v>45015</v>
      </c>
      <c r="B117" t="str">
        <f>TEXT(tblSales[[#This Row],[Date]],"MMMM")</f>
        <v>March</v>
      </c>
      <c r="C117" t="str">
        <f>TEXT(tblSales[[#This Row],[Date]],"YYYY")</f>
        <v>2023</v>
      </c>
      <c r="D117" t="s">
        <v>14</v>
      </c>
      <c r="E117" t="s">
        <v>35</v>
      </c>
      <c r="F117" t="s">
        <v>43</v>
      </c>
      <c r="G117" t="s">
        <v>30</v>
      </c>
      <c r="H117" t="s">
        <v>41</v>
      </c>
      <c r="I117">
        <v>5727</v>
      </c>
      <c r="J117">
        <v>0.25</v>
      </c>
      <c r="K117">
        <v>1431.75</v>
      </c>
      <c r="L117" t="s">
        <v>19</v>
      </c>
      <c r="M117" t="s">
        <v>26</v>
      </c>
      <c r="N117" t="s">
        <v>27</v>
      </c>
    </row>
    <row r="118" spans="1:14" x14ac:dyDescent="0.3">
      <c r="A118" s="2">
        <v>44954</v>
      </c>
      <c r="B118" t="str">
        <f>TEXT(tblSales[[#This Row],[Date]],"MMMM")</f>
        <v>January</v>
      </c>
      <c r="C118" t="str">
        <f>TEXT(tblSales[[#This Row],[Date]],"YYYY")</f>
        <v>2023</v>
      </c>
      <c r="D118" t="s">
        <v>22</v>
      </c>
      <c r="E118" t="s">
        <v>15</v>
      </c>
      <c r="F118" t="s">
        <v>29</v>
      </c>
      <c r="G118" t="s">
        <v>30</v>
      </c>
      <c r="H118" t="s">
        <v>31</v>
      </c>
      <c r="I118">
        <v>4185</v>
      </c>
      <c r="J118">
        <v>0.25</v>
      </c>
      <c r="K118">
        <v>1046.25</v>
      </c>
      <c r="L118" t="s">
        <v>25</v>
      </c>
      <c r="M118" t="s">
        <v>26</v>
      </c>
      <c r="N118" t="s">
        <v>32</v>
      </c>
    </row>
    <row r="119" spans="1:14" x14ac:dyDescent="0.3">
      <c r="A119" s="2">
        <v>44973</v>
      </c>
      <c r="B119" t="str">
        <f>TEXT(tblSales[[#This Row],[Date]],"MMMM")</f>
        <v>February</v>
      </c>
      <c r="C119" t="str">
        <f>TEXT(tblSales[[#This Row],[Date]],"YYYY")</f>
        <v>2023</v>
      </c>
      <c r="D119" t="s">
        <v>48</v>
      </c>
      <c r="E119" t="s">
        <v>35</v>
      </c>
      <c r="F119" t="s">
        <v>23</v>
      </c>
      <c r="G119" t="s">
        <v>24</v>
      </c>
      <c r="H119" t="s">
        <v>36</v>
      </c>
      <c r="I119">
        <v>5200</v>
      </c>
      <c r="J119">
        <v>0.25</v>
      </c>
      <c r="K119">
        <v>1300</v>
      </c>
      <c r="L119" t="s">
        <v>25</v>
      </c>
      <c r="M119" t="s">
        <v>29</v>
      </c>
      <c r="N119" t="s">
        <v>37</v>
      </c>
    </row>
    <row r="120" spans="1:14" x14ac:dyDescent="0.3">
      <c r="A120" s="2">
        <v>44931</v>
      </c>
      <c r="B120" t="str">
        <f>TEXT(tblSales[[#This Row],[Date]],"MMMM")</f>
        <v>January</v>
      </c>
      <c r="C120" t="str">
        <f>TEXT(tblSales[[#This Row],[Date]],"YYYY")</f>
        <v>2023</v>
      </c>
      <c r="D120" t="s">
        <v>48</v>
      </c>
      <c r="E120" t="s">
        <v>35</v>
      </c>
      <c r="F120" t="s">
        <v>29</v>
      </c>
      <c r="G120" t="s">
        <v>30</v>
      </c>
      <c r="H120" t="s">
        <v>41</v>
      </c>
      <c r="I120">
        <v>2118</v>
      </c>
      <c r="J120">
        <v>0.4</v>
      </c>
      <c r="K120">
        <v>847.2</v>
      </c>
      <c r="L120" t="s">
        <v>25</v>
      </c>
      <c r="M120" t="s">
        <v>29</v>
      </c>
      <c r="N120" t="s">
        <v>32</v>
      </c>
    </row>
    <row r="121" spans="1:14" x14ac:dyDescent="0.3">
      <c r="A121" s="2">
        <v>44997</v>
      </c>
      <c r="B121" t="str">
        <f>TEXT(tblSales[[#This Row],[Date]],"MMMM")</f>
        <v>March</v>
      </c>
      <c r="C121" t="str">
        <f>TEXT(tblSales[[#This Row],[Date]],"YYYY")</f>
        <v>2023</v>
      </c>
      <c r="D121" t="s">
        <v>51</v>
      </c>
      <c r="E121" t="s">
        <v>15</v>
      </c>
      <c r="F121" t="s">
        <v>29</v>
      </c>
      <c r="G121" t="s">
        <v>30</v>
      </c>
      <c r="H121" t="s">
        <v>38</v>
      </c>
      <c r="I121">
        <v>3562</v>
      </c>
      <c r="J121">
        <v>0.35</v>
      </c>
      <c r="K121">
        <v>1246.7</v>
      </c>
      <c r="L121" t="s">
        <v>19</v>
      </c>
      <c r="M121" t="s">
        <v>20</v>
      </c>
      <c r="N121" t="s">
        <v>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Anubhav Rastogi</dc:creator>
  <cp:lastModifiedBy>Anubhav Rastogi</cp:lastModifiedBy>
  <dcterms:created xsi:type="dcterms:W3CDTF">2025-12-16T13:50:24Z</dcterms:created>
  <dcterms:modified xsi:type="dcterms:W3CDTF">2025-12-16T15:33:04Z</dcterms:modified>
</cp:coreProperties>
</file>