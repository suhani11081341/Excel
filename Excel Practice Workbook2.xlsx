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e494df8f0cf640e/Desktop/Excel/"/>
    </mc:Choice>
  </mc:AlternateContent>
  <xr:revisionPtr revIDLastSave="18" documentId="11_6B7F5C8F4073184F6161F8965DB8B6FF883CB3DA" xr6:coauthVersionLast="47" xr6:coauthVersionMax="47" xr10:uidLastSave="{5C931CF0-BC59-420E-B568-9505A25B9AA2}"/>
  <bookViews>
    <workbookView xWindow="-108" yWindow="-108" windowWidth="23256" windowHeight="12456" firstSheet="1" activeTab="3" xr2:uid="{00000000-000D-0000-FFFF-FFFF00000000}"/>
  </bookViews>
  <sheets>
    <sheet name="Dates" sheetId="1" r:id="rId1"/>
    <sheet name="Switch For Multiple Condition" sheetId="3" r:id="rId2"/>
    <sheet name="Age Calculation" sheetId="4" r:id="rId3"/>
    <sheet name="Charts" sheetId="5" r:id="rId4"/>
    <sheet name="Autofit Column Size by Macros" sheetId="2" r:id="rId5"/>
  </sheets>
  <calcPr calcId="191029"/>
</workbook>
</file>

<file path=xl/calcChain.xml><?xml version="1.0" encoding="utf-8"?>
<calcChain xmlns="http://schemas.openxmlformats.org/spreadsheetml/2006/main">
  <c r="D5" i="5" l="1"/>
  <c r="D6" i="5"/>
  <c r="D7" i="5"/>
  <c r="D4" i="5"/>
  <c r="D41" i="4"/>
  <c r="D42" i="4"/>
  <c r="D43" i="4"/>
  <c r="D44" i="4"/>
  <c r="D45" i="4"/>
  <c r="D46" i="4"/>
  <c r="D47" i="4"/>
  <c r="D48" i="4"/>
  <c r="D49" i="4"/>
  <c r="D40" i="4"/>
  <c r="C40" i="4"/>
  <c r="C41" i="4"/>
  <c r="C42" i="4"/>
  <c r="C43" i="4"/>
  <c r="C44" i="4"/>
  <c r="C45" i="4"/>
  <c r="C46" i="4"/>
  <c r="C47" i="4"/>
  <c r="C48" i="4"/>
  <c r="C49" i="4"/>
  <c r="C4" i="3"/>
  <c r="C5" i="3"/>
  <c r="C6" i="3"/>
  <c r="C7" i="3"/>
  <c r="C8" i="3"/>
  <c r="C9" i="3"/>
  <c r="C10" i="3"/>
  <c r="C11" i="3"/>
  <c r="C12" i="3"/>
  <c r="C13" i="3"/>
  <c r="C14" i="3"/>
  <c r="C3" i="3"/>
  <c r="D5" i="1"/>
  <c r="D6" i="1"/>
  <c r="D7" i="1"/>
  <c r="D8" i="1"/>
  <c r="D9" i="1"/>
  <c r="D10" i="1"/>
  <c r="D11" i="1"/>
  <c r="D12" i="1"/>
  <c r="D13" i="1"/>
  <c r="D14" i="1"/>
  <c r="C5" i="1"/>
  <c r="C6" i="1"/>
  <c r="C7" i="1"/>
  <c r="C8" i="1"/>
  <c r="C9" i="1"/>
  <c r="C10" i="1"/>
  <c r="C11" i="1"/>
  <c r="C12" i="1"/>
  <c r="C13" i="1"/>
  <c r="C14" i="1"/>
</calcChain>
</file>

<file path=xl/sharedStrings.xml><?xml version="1.0" encoding="utf-8"?>
<sst xmlns="http://schemas.openxmlformats.org/spreadsheetml/2006/main" count="92" uniqueCount="71">
  <si>
    <t>2025-12-06</t>
  </si>
  <si>
    <t>2025-12-13</t>
  </si>
  <si>
    <t>2025-12-07</t>
  </si>
  <si>
    <t>2025-12-14</t>
  </si>
  <si>
    <t>2025-12-08</t>
  </si>
  <si>
    <t>2025-12-15</t>
  </si>
  <si>
    <t>2025-12-09</t>
  </si>
  <si>
    <t>2025-12-16</t>
  </si>
  <si>
    <t>2025-12-10</t>
  </si>
  <si>
    <t>2025-12-17</t>
  </si>
  <si>
    <t>2025-12-11</t>
  </si>
  <si>
    <t>2025-12-18</t>
  </si>
  <si>
    <t>2025-12-12</t>
  </si>
  <si>
    <t>2025-12-19</t>
  </si>
  <si>
    <t>2025-12-20</t>
  </si>
  <si>
    <t>2025-12-21</t>
  </si>
  <si>
    <t>2025-12-22</t>
  </si>
  <si>
    <t>Start_date</t>
  </si>
  <si>
    <t>End_date</t>
  </si>
  <si>
    <t>Column1</t>
  </si>
  <si>
    <t>Column2</t>
  </si>
  <si>
    <t xml:space="preserve">The dates are </t>
  </si>
  <si>
    <t>Project Id</t>
  </si>
  <si>
    <t>Package</t>
  </si>
  <si>
    <t>ID 100</t>
  </si>
  <si>
    <t>Basic</t>
  </si>
  <si>
    <t>ID 101</t>
  </si>
  <si>
    <t>Medium</t>
  </si>
  <si>
    <t>ID 102</t>
  </si>
  <si>
    <t>ID 103</t>
  </si>
  <si>
    <t>Premium</t>
  </si>
  <si>
    <t>ID 104</t>
  </si>
  <si>
    <t>ID 105</t>
  </si>
  <si>
    <t>ID 106</t>
  </si>
  <si>
    <t>ID 107</t>
  </si>
  <si>
    <t>ID 108</t>
  </si>
  <si>
    <t>ID 109</t>
  </si>
  <si>
    <t>ID 110</t>
  </si>
  <si>
    <t>ID 111</t>
  </si>
  <si>
    <t>Amount</t>
  </si>
  <si>
    <t>Customer #</t>
  </si>
  <si>
    <t>Date of Birth</t>
  </si>
  <si>
    <t>Age</t>
  </si>
  <si>
    <t>1/15/2003</t>
  </si>
  <si>
    <t>2/26/2004</t>
  </si>
  <si>
    <t>5/20/2007</t>
  </si>
  <si>
    <t>6/14/2008</t>
  </si>
  <si>
    <t>7/22/2009</t>
  </si>
  <si>
    <t>8/30/2010</t>
  </si>
  <si>
    <t>9/18/2011</t>
  </si>
  <si>
    <t>11/23/2013</t>
  </si>
  <si>
    <t>2/19/2006</t>
  </si>
  <si>
    <t>3/28/2007</t>
  </si>
  <si>
    <t>4/13/2008</t>
  </si>
  <si>
    <t>5/25/2009</t>
  </si>
  <si>
    <t>Customer</t>
  </si>
  <si>
    <t>Age (Years) Formula</t>
  </si>
  <si>
    <t>5/26/1995</t>
  </si>
  <si>
    <t>3/29/2011</t>
  </si>
  <si>
    <t>4/18/2001</t>
  </si>
  <si>
    <t>6/30/1999</t>
  </si>
  <si>
    <t>Age in Years only</t>
  </si>
  <si>
    <t>Age in Years and Months only</t>
  </si>
  <si>
    <t>Age Calculated till 6 dec 2025</t>
  </si>
  <si>
    <t>Name</t>
  </si>
  <si>
    <t>Total Marks</t>
  </si>
  <si>
    <t>Marks Obtained</t>
  </si>
  <si>
    <t>Rohan</t>
  </si>
  <si>
    <t>Riya</t>
  </si>
  <si>
    <t>Sonam</t>
  </si>
  <si>
    <t>Rihan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</si>
</sst>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m/d/yyyy"/>
  </numFmts>
  <fonts count="9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164" fontId="3" fillId="0" borderId="1" xfId="0" applyNumberFormat="1" applyFont="1" applyBorder="1" applyAlignment="1">
      <alignment horizontal="right" vertical="center" wrapText="1" indent="1" readingOrder="1"/>
    </xf>
    <xf numFmtId="164" fontId="3" fillId="0" borderId="1" xfId="0" applyNumberFormat="1" applyFont="1" applyBorder="1" applyAlignment="1">
      <alignment horizontal="right" wrapText="1" indent="1" readingOrder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wrapText="1"/>
    </xf>
    <xf numFmtId="14" fontId="7" fillId="0" borderId="2" xfId="0" applyNumberFormat="1" applyFont="1" applyBorder="1" applyAlignment="1">
      <alignment horizontal="right" wrapText="1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8" fillId="0" borderId="0" xfId="0" applyFont="1"/>
    <xf numFmtId="165" fontId="8" fillId="0" borderId="0" xfId="0" applyNumberFormat="1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 Marks</c:v>
                </c:pt>
              </c:strCache>
            </c:strRef>
          </c:tx>
          <c:spPr>
            <a:noFill/>
            <a:ln w="19050"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110B1B3-8358-48AD-B70B-A44E40369F3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B62-4D82-AB75-359005DD7F5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013278-6B81-48B7-A2A3-F2FFD07659E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B62-4D82-AB75-359005DD7F5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17FB17A-C034-4F46-9806-75A18D09E74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B62-4D82-AB75-359005DD7F5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8C92B44-9CEA-40A4-B287-C59AC405077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B62-4D82-AB75-359005DD7F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Charts!$A$4:$A$7</c:f>
              <c:strCache>
                <c:ptCount val="4"/>
                <c:pt idx="0">
                  <c:v>Rohan</c:v>
                </c:pt>
                <c:pt idx="1">
                  <c:v>Riya</c:v>
                </c:pt>
                <c:pt idx="2">
                  <c:v>Sonam</c:v>
                </c:pt>
                <c:pt idx="3">
                  <c:v>Rihan</c:v>
                </c:pt>
              </c:strCache>
            </c:strRef>
          </c:cat>
          <c:val>
            <c:numRef>
              <c:f>Charts!$B$4:$B$7</c:f>
              <c:numCache>
                <c:formatCode>General</c:formatCode>
                <c:ptCount val="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Charts!$D$4:$D$7</c15:f>
                <c15:dlblRangeCache>
                  <c:ptCount val="4"/>
                  <c:pt idx="0">
                    <c:v>150</c:v>
                  </c:pt>
                  <c:pt idx="1">
                    <c:v>200</c:v>
                  </c:pt>
                  <c:pt idx="2">
                    <c:v>210</c:v>
                  </c:pt>
                  <c:pt idx="3">
                    <c:v>225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B62-4D82-AB75-359005DD7F51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Marks Obtained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Charts!$A$4:$A$7</c:f>
              <c:strCache>
                <c:ptCount val="4"/>
                <c:pt idx="0">
                  <c:v>Rohan</c:v>
                </c:pt>
                <c:pt idx="1">
                  <c:v>Riya</c:v>
                </c:pt>
                <c:pt idx="2">
                  <c:v>Sonam</c:v>
                </c:pt>
                <c:pt idx="3">
                  <c:v>Rihan</c:v>
                </c:pt>
              </c:strCache>
            </c:strRef>
          </c:cat>
          <c:val>
            <c:numRef>
              <c:f>Charts!$C$4:$C$7</c:f>
              <c:numCache>
                <c:formatCode>General</c:formatCode>
                <c:ptCount val="4"/>
                <c:pt idx="0">
                  <c:v>250</c:v>
                </c:pt>
                <c:pt idx="1">
                  <c:v>200</c:v>
                </c:pt>
                <c:pt idx="2">
                  <c:v>190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2-4D82-AB75-359005DD7F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9"/>
        <c:overlap val="100"/>
        <c:axId val="687444776"/>
        <c:axId val="687450176"/>
      </c:barChart>
      <c:catAx>
        <c:axId val="68744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50176"/>
        <c:crosses val="autoZero"/>
        <c:auto val="1"/>
        <c:lblAlgn val="ctr"/>
        <c:lblOffset val="100"/>
        <c:noMultiLvlLbl val="0"/>
      </c:catAx>
      <c:valAx>
        <c:axId val="6874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4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Charts!$A$4:$A$7</c:f>
              <c:strCache>
                <c:ptCount val="4"/>
                <c:pt idx="0">
                  <c:v>Rohan</c:v>
                </c:pt>
                <c:pt idx="1">
                  <c:v>Riya</c:v>
                </c:pt>
                <c:pt idx="2">
                  <c:v>Sonam</c:v>
                </c:pt>
                <c:pt idx="3">
                  <c:v>Rihan</c:v>
                </c:pt>
              </c:strCache>
            </c:strRef>
          </c:cat>
          <c:val>
            <c:numRef>
              <c:f>Charts!$B$4:$B$7</c:f>
              <c:numCache>
                <c:formatCode>General</c:formatCode>
                <c:ptCount val="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8-4ACB-B7A6-2F2295D43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921360"/>
        <c:axId val="440917040"/>
      </c:bar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Charts!$A$4:$A$7</c:f>
              <c:strCache>
                <c:ptCount val="4"/>
                <c:pt idx="0">
                  <c:v>Rohan</c:v>
                </c:pt>
                <c:pt idx="1">
                  <c:v>Riya</c:v>
                </c:pt>
                <c:pt idx="2">
                  <c:v>Sonam</c:v>
                </c:pt>
                <c:pt idx="3">
                  <c:v>Rihan</c:v>
                </c:pt>
              </c:strCache>
            </c:strRef>
          </c:cat>
          <c:val>
            <c:numRef>
              <c:f>Charts!$C$4:$C$7</c:f>
              <c:numCache>
                <c:formatCode>General</c:formatCode>
                <c:ptCount val="4"/>
                <c:pt idx="0">
                  <c:v>250</c:v>
                </c:pt>
                <c:pt idx="1">
                  <c:v>200</c:v>
                </c:pt>
                <c:pt idx="2">
                  <c:v>190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8-4ACB-B7A6-2F2295D43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31"/>
        <c:axId val="825313952"/>
        <c:axId val="825306752"/>
      </c:barChart>
      <c:catAx>
        <c:axId val="44092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17040"/>
        <c:crosses val="autoZero"/>
        <c:auto val="1"/>
        <c:lblAlgn val="ctr"/>
        <c:lblOffset val="100"/>
        <c:noMultiLvlLbl val="0"/>
      </c:catAx>
      <c:valAx>
        <c:axId val="44091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21360"/>
        <c:crosses val="autoZero"/>
        <c:crossBetween val="between"/>
      </c:valAx>
      <c:valAx>
        <c:axId val="825306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313952"/>
        <c:crosses val="max"/>
        <c:crossBetween val="between"/>
      </c:valAx>
      <c:catAx>
        <c:axId val="82531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53067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114301</xdr:colOff>
      <xdr:row>3</xdr:row>
      <xdr:rowOff>1</xdr:rowOff>
    </xdr:from>
    <xdr:to>
      <xdr:col>17</xdr:col>
      <xdr:colOff>327660</xdr:colOff>
      <xdr:row>22</xdr:row>
      <xdr:rowOff>33733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AF3A66-BA41-EA26-B83E-9C6EAA5B7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1961" y="571501"/>
          <a:ext cx="6918959" cy="3737052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411480</xdr:colOff>
      <xdr:row>23</xdr:row>
      <xdr:rowOff>144780</xdr:rowOff>
    </xdr:from>
    <xdr:to>
      <xdr:col>16</xdr:col>
      <xdr:colOff>343422</xdr:colOff>
      <xdr:row>38</xdr:row>
      <xdr:rowOff>137405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ECE353-B111-3E55-1A64-18070BDAE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9140" y="4602480"/>
          <a:ext cx="6027942" cy="2827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1</xdr:row>
      <xdr:rowOff>106680</xdr:rowOff>
    </xdr:from>
    <xdr:to>
      <xdr:col>13</xdr:col>
      <xdr:colOff>342900</xdr:colOff>
      <xdr:row>17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048A8F-2553-452E-8D8F-4204A65BE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388620</xdr:colOff>
      <xdr:row>18</xdr:row>
      <xdr:rowOff>140970</xdr:rowOff>
    </xdr:from>
    <xdr:to>
      <xdr:col>13</xdr:col>
      <xdr:colOff>83820</xdr:colOff>
      <xdr:row>33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678F35-D13C-1E07-E854-05B8BAFDA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473696</xdr:colOff>
      <xdr:row>44</xdr:row>
      <xdr:rowOff>168352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21708-20C7-47AF-B1F8-7AC39714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94496" cy="82150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42FBB-C62C-4555-A5DF-00B8C5754C23}" name="Table1" displayName="Table1" ref="A4:D14" totalsRowShown="0" headerRowDxfId="4">
  <autoFilter ref="A4:D14" xr:uid="{57742FBB-C62C-4555-A5DF-00B8C5754C23}"/>
  <tableColumns count="4">
    <tableColumn id="1" xr3:uid="{523DD019-AA3A-4DED-ACCB-894B35F0E4B4}" name="Start_date"/>
    <tableColumn id="2" xr3:uid="{0B232AEE-7FAD-406F-8E11-3DF5634E62ED}" name="End_date"/>
    <tableColumn id="3" xr3:uid="{B647B5F7-BD32-471A-8516-15E95A3C2A9F}" name="Column1" dataDxfId="3">
      <calculatedColumnFormula>CONCATENATE("from ",TEXT(A5,"mmm dd")," to ",TEXT(B5,"mmm dd"))</calculatedColumnFormula>
    </tableColumn>
    <tableColumn id="4" xr3:uid="{5F833D28-0DE2-4F9D-85C8-407871CAC907}" name="Column2" dataDxfId="2">
      <calculatedColumnFormula>CONCATENATE($C$3,Table1[[#This Row],[Column1]])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C58289-8764-46AB-A933-09F320811668}" name="Table2" displayName="Table2" ref="A2:C14" totalsRowShown="0">
  <autoFilter ref="A2:C14" xr:uid="{68C58289-8764-46AB-A933-09F320811668}"/>
  <tableColumns count="3">
    <tableColumn id="1" xr3:uid="{2A27337C-4AA1-4F65-B4C1-D7B2828B195F}" name="Project Id"/>
    <tableColumn id="2" xr3:uid="{C4F2B539-E0C2-4E7D-B2DB-173279C1B351}" name="Package"/>
    <tableColumn id="3" xr3:uid="{49F316E9-D068-47C7-A10A-9AE4D6EDF5F7}" name="Amount">
      <calculatedColumnFormula>_xlfn.SWITCH(B3,$A$17,$B$17,$A$18,$B$18,$A$19,$B$19)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A1F771-24DA-498B-ACDF-CE147CC539C7}" name="Table3" displayName="Table3" ref="A16:B19" totalsRowShown="0">
  <autoFilter ref="A16:B19" xr:uid="{43A1F771-24DA-498B-ACDF-CE147CC539C7}"/>
  <tableColumns count="2">
    <tableColumn id="1" xr3:uid="{3616DE22-BBC3-4B05-9376-6CAC7D62C64F}" name="Column1"/>
    <tableColumn id="2" xr3:uid="{658D3118-90B4-4EBF-93EF-F048CF4C5BAD}" name="Column2"/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24E1E3-1385-4EA1-BD46-E403BAEA4789}" name="Table4" displayName="Table4" ref="A39:D49" totalsRowShown="0">
  <autoFilter ref="A39:D49" xr:uid="{8E24E1E3-1385-4EA1-BD46-E403BAEA4789}"/>
  <tableColumns count="4">
    <tableColumn id="1" xr3:uid="{93F78E5D-7BB3-4382-BDCC-C7CF9C7CC083}" name="Customer #" dataDxfId="1"/>
    <tableColumn id="2" xr3:uid="{191AC2F0-2325-4C08-BDDF-3706E5ECAE2F}" name="Date of Birth" dataDxfId="0"/>
    <tableColumn id="3" xr3:uid="{35C5C119-DF00-4DE1-9960-E4869EB78A52}" name="Age in Years only">
      <calculatedColumnFormula>DATEDIF(B40,TODAY(),"Y")</calculatedColumnFormula>
    </tableColumn>
    <tableColumn id="4" xr3:uid="{5426BB62-E545-4107-9C50-F339C995FFBF}" name="Age in Years and Months only">
      <calculatedColumnFormula>DATEDIF(B40, TODAY(), "Y") &amp; " years, " &amp; DATEDIF(B40, TODAY(), "YM") &amp; " months"</calculatedColumnFormula>
    </tableColumn>
  </tableColumns>
  <tableStyleInfo name="TableStyleMedium2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4F1B20-2FF0-4A78-9BE2-28414DA403FB}" name="Table5" displayName="Table5" ref="A3:C7" totalsRowShown="0">
  <autoFilter ref="A3:C7" xr:uid="{A64F1B20-2FF0-4A78-9BE2-28414DA403FB}"/>
  <tableColumns count="3">
    <tableColumn id="1" xr3:uid="{3356A861-3D10-4052-8616-D894E4B7CEF8}" name="Name"/>
    <tableColumn id="2" xr3:uid="{707A0B8F-E115-4ECF-9A77-67FEA59252AA}" name="Total Marks"/>
    <tableColumn id="3" xr3:uid="{5C9BC8F6-4012-41D5-950F-BD47BE3B1323}" name="Marks Obtained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2D032D2-AB16-4CFB-B19F-3C03977A90C1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5yfXCjJ5_1vCgebAVFdjQ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0A3D648-72B5-4FEF-9B90-B9AC49F37110}">
  <we:reference id="wa200006230" version="1.0.0.0" store="en-US" storeType="OMEX"/>
  <we:alternateReferences>
    <we:reference id="WA200006230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D14"/>
  <sheetViews>
    <sheetView workbookViewId="0">
      <selection activeCell="G4" sqref="G4"/>
    </sheetView>
  </sheetViews>
  <sheetFormatPr defaultRowHeight="14.4" x14ac:dyDescent="0.3"/>
  <cols>
    <col min="1" max="1" width="12" bestFit="1" customWidth="1"/>
    <col min="2" max="2" width="11.21875" bestFit="1" customWidth="1"/>
    <col min="3" max="3" width="19.44140625" bestFit="1" customWidth="1"/>
    <col min="4" max="4" width="31.21875" bestFit="1" customWidth="1"/>
  </cols>
  <sheetData>
    <row r="3" spans="1:4" x14ac:dyDescent="0.3">
      <c r="C3" t="s">
        <v>21</v>
      </c>
    </row>
    <row r="4" spans="1:4" x14ac:dyDescent="0.3">
      <c r="A4" s="1" t="s">
        <v>17</v>
      </c>
      <c r="B4" s="1" t="s">
        <v>18</v>
      </c>
      <c r="C4" s="1" t="s">
        <v>19</v>
      </c>
      <c r="D4" s="1" t="s">
        <v>20</v>
      </c>
    </row>
    <row r="5" spans="1:4" x14ac:dyDescent="0.3">
      <c r="A5" t="s">
        <v>0</v>
      </c>
      <c r="B5" t="s">
        <v>1</v>
      </c>
      <c r="C5" t="str">
        <f t="shared" ref="C5:C14" si="0">CONCATENATE("from ",TEXT(A5,"mmm dd")," to ",TEXT(B5,"mmm dd"))</f>
        <v>from Dec 06 to Dec 13</v>
      </c>
      <c r="D5" t="str">
        <f>CONCATENATE($C$3,Table1[[#This Row],[Column1]])</f>
        <v>The dates are from Dec 06 to Dec 13</v>
      </c>
    </row>
    <row r="6" spans="1:4" x14ac:dyDescent="0.3">
      <c r="A6" t="s">
        <v>2</v>
      </c>
      <c r="B6" t="s">
        <v>3</v>
      </c>
      <c r="C6" t="str">
        <f t="shared" si="0"/>
        <v>from Dec 07 to Dec 14</v>
      </c>
      <c r="D6" t="str">
        <f>CONCATENATE($C$3,Table1[[#This Row],[Column1]])</f>
        <v>The dates are from Dec 07 to Dec 14</v>
      </c>
    </row>
    <row r="7" spans="1:4" x14ac:dyDescent="0.3">
      <c r="A7" t="s">
        <v>4</v>
      </c>
      <c r="B7" t="s">
        <v>5</v>
      </c>
      <c r="C7" t="str">
        <f t="shared" si="0"/>
        <v>from Dec 08 to Dec 15</v>
      </c>
      <c r="D7" t="str">
        <f>CONCATENATE($C$3,Table1[[#This Row],[Column1]])</f>
        <v>The dates are from Dec 08 to Dec 15</v>
      </c>
    </row>
    <row r="8" spans="1:4" x14ac:dyDescent="0.3">
      <c r="A8" t="s">
        <v>6</v>
      </c>
      <c r="B8" t="s">
        <v>7</v>
      </c>
      <c r="C8" t="str">
        <f t="shared" si="0"/>
        <v>from Dec 09 to Dec 16</v>
      </c>
      <c r="D8" t="str">
        <f>CONCATENATE($C$3,Table1[[#This Row],[Column1]])</f>
        <v>The dates are from Dec 09 to Dec 16</v>
      </c>
    </row>
    <row r="9" spans="1:4" x14ac:dyDescent="0.3">
      <c r="A9" t="s">
        <v>8</v>
      </c>
      <c r="B9" t="s">
        <v>9</v>
      </c>
      <c r="C9" t="str">
        <f t="shared" si="0"/>
        <v>from Dec 10 to Dec 17</v>
      </c>
      <c r="D9" t="str">
        <f>CONCATENATE($C$3,Table1[[#This Row],[Column1]])</f>
        <v>The dates are from Dec 10 to Dec 17</v>
      </c>
    </row>
    <row r="10" spans="1:4" x14ac:dyDescent="0.3">
      <c r="A10" t="s">
        <v>10</v>
      </c>
      <c r="B10" t="s">
        <v>11</v>
      </c>
      <c r="C10" t="str">
        <f t="shared" si="0"/>
        <v>from Dec 11 to Dec 18</v>
      </c>
      <c r="D10" t="str">
        <f>CONCATENATE($C$3,Table1[[#This Row],[Column1]])</f>
        <v>The dates are from Dec 11 to Dec 18</v>
      </c>
    </row>
    <row r="11" spans="1:4" x14ac:dyDescent="0.3">
      <c r="A11" t="s">
        <v>12</v>
      </c>
      <c r="B11" t="s">
        <v>13</v>
      </c>
      <c r="C11" t="str">
        <f t="shared" si="0"/>
        <v>from Dec 12 to Dec 19</v>
      </c>
      <c r="D11" t="str">
        <f>CONCATENATE($C$3,Table1[[#This Row],[Column1]])</f>
        <v>The dates are from Dec 12 to Dec 19</v>
      </c>
    </row>
    <row r="12" spans="1:4" x14ac:dyDescent="0.3">
      <c r="A12" t="s">
        <v>1</v>
      </c>
      <c r="B12" t="s">
        <v>14</v>
      </c>
      <c r="C12" t="str">
        <f t="shared" si="0"/>
        <v>from Dec 13 to Dec 20</v>
      </c>
      <c r="D12" t="str">
        <f>CONCATENATE($C$3,Table1[[#This Row],[Column1]])</f>
        <v>The dates are from Dec 13 to Dec 20</v>
      </c>
    </row>
    <row r="13" spans="1:4" x14ac:dyDescent="0.3">
      <c r="A13" t="s">
        <v>3</v>
      </c>
      <c r="B13" t="s">
        <v>15</v>
      </c>
      <c r="C13" t="str">
        <f t="shared" si="0"/>
        <v>from Dec 14 to Dec 21</v>
      </c>
      <c r="D13" t="str">
        <f>CONCATENATE($C$3,Table1[[#This Row],[Column1]])</f>
        <v>The dates are from Dec 14 to Dec 21</v>
      </c>
    </row>
    <row r="14" spans="1:4" x14ac:dyDescent="0.3">
      <c r="A14" t="s">
        <v>5</v>
      </c>
      <c r="B14" t="s">
        <v>16</v>
      </c>
      <c r="C14" t="str">
        <f t="shared" si="0"/>
        <v>from Dec 15 to Dec 22</v>
      </c>
      <c r="D14" t="str">
        <f>CONCATENATE($C$3,Table1[[#This Row],[Column1]])</f>
        <v>The dates are from Dec 15 to Dec 22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2C10-5B36-4411-86CE-1021C2218164}">
  <sheetPr codeName="Sheet2"/>
  <dimension ref="A2:C19"/>
  <sheetViews>
    <sheetView workbookViewId="0">
      <selection activeCell="G9" sqref="G9"/>
    </sheetView>
  </sheetViews>
  <sheetFormatPr defaultRowHeight="14.4" x14ac:dyDescent="0.3"/>
  <cols>
    <col min="1" max="1" width="11" customWidth="1"/>
    <col min="2" max="2" width="10.44140625" customWidth="1"/>
    <col min="3" max="3" width="9.77734375" customWidth="1"/>
  </cols>
  <sheetData>
    <row r="2" spans="1:3" x14ac:dyDescent="0.3">
      <c r="A2" t="s">
        <v>22</v>
      </c>
      <c r="B2" t="s">
        <v>23</v>
      </c>
      <c r="C2" t="s">
        <v>39</v>
      </c>
    </row>
    <row r="3" spans="1:3" x14ac:dyDescent="0.3">
      <c r="A3" t="s">
        <v>24</v>
      </c>
      <c r="B3" t="s">
        <v>25</v>
      </c>
      <c r="C3">
        <f t="shared" ref="C3:C14" si="0">_xlfn.SWITCH(B3,$A$17,$B$17,$A$18,$B$18,$A$19,$B$19)</f>
        <v>5000</v>
      </c>
    </row>
    <row r="4" spans="1:3" x14ac:dyDescent="0.3">
      <c r="A4" t="s">
        <v>26</v>
      </c>
      <c r="B4" t="s">
        <v>27</v>
      </c>
      <c r="C4">
        <f t="shared" si="0"/>
        <v>15000</v>
      </c>
    </row>
    <row r="5" spans="1:3" x14ac:dyDescent="0.3">
      <c r="A5" t="s">
        <v>28</v>
      </c>
      <c r="B5" t="s">
        <v>27</v>
      </c>
      <c r="C5">
        <f t="shared" si="0"/>
        <v>15000</v>
      </c>
    </row>
    <row r="6" spans="1:3" x14ac:dyDescent="0.3">
      <c r="A6" t="s">
        <v>29</v>
      </c>
      <c r="B6" t="s">
        <v>30</v>
      </c>
      <c r="C6">
        <f t="shared" si="0"/>
        <v>40000</v>
      </c>
    </row>
    <row r="7" spans="1:3" x14ac:dyDescent="0.3">
      <c r="A7" t="s">
        <v>31</v>
      </c>
      <c r="B7" t="s">
        <v>27</v>
      </c>
      <c r="C7">
        <f t="shared" si="0"/>
        <v>15000</v>
      </c>
    </row>
    <row r="8" spans="1:3" x14ac:dyDescent="0.3">
      <c r="A8" t="s">
        <v>32</v>
      </c>
      <c r="B8" t="s">
        <v>25</v>
      </c>
      <c r="C8">
        <f t="shared" si="0"/>
        <v>5000</v>
      </c>
    </row>
    <row r="9" spans="1:3" x14ac:dyDescent="0.3">
      <c r="A9" t="s">
        <v>33</v>
      </c>
      <c r="B9" t="s">
        <v>30</v>
      </c>
      <c r="C9">
        <f t="shared" si="0"/>
        <v>40000</v>
      </c>
    </row>
    <row r="10" spans="1:3" x14ac:dyDescent="0.3">
      <c r="A10" t="s">
        <v>34</v>
      </c>
      <c r="B10" t="s">
        <v>27</v>
      </c>
      <c r="C10">
        <f t="shared" si="0"/>
        <v>15000</v>
      </c>
    </row>
    <row r="11" spans="1:3" x14ac:dyDescent="0.3">
      <c r="A11" t="s">
        <v>35</v>
      </c>
      <c r="B11" t="s">
        <v>27</v>
      </c>
      <c r="C11">
        <f t="shared" si="0"/>
        <v>15000</v>
      </c>
    </row>
    <row r="12" spans="1:3" x14ac:dyDescent="0.3">
      <c r="A12" t="s">
        <v>36</v>
      </c>
      <c r="B12" t="s">
        <v>27</v>
      </c>
      <c r="C12">
        <f t="shared" si="0"/>
        <v>15000</v>
      </c>
    </row>
    <row r="13" spans="1:3" x14ac:dyDescent="0.3">
      <c r="A13" t="s">
        <v>37</v>
      </c>
      <c r="B13" t="s">
        <v>30</v>
      </c>
      <c r="C13">
        <f t="shared" si="0"/>
        <v>40000</v>
      </c>
    </row>
    <row r="14" spans="1:3" x14ac:dyDescent="0.3">
      <c r="A14" t="s">
        <v>38</v>
      </c>
      <c r="B14" t="s">
        <v>30</v>
      </c>
      <c r="C14">
        <f t="shared" si="0"/>
        <v>40000</v>
      </c>
    </row>
    <row r="16" spans="1:3" x14ac:dyDescent="0.3">
      <c r="A16" t="s">
        <v>19</v>
      </c>
      <c r="B16" t="s">
        <v>20</v>
      </c>
    </row>
    <row r="17" spans="1:2" x14ac:dyDescent="0.3">
      <c r="A17" t="s">
        <v>25</v>
      </c>
      <c r="B17">
        <v>5000</v>
      </c>
    </row>
    <row r="18" spans="1:2" x14ac:dyDescent="0.3">
      <c r="A18" t="s">
        <v>27</v>
      </c>
      <c r="B18">
        <v>15000</v>
      </c>
    </row>
    <row r="19" spans="1:2" x14ac:dyDescent="0.3">
      <c r="A19" t="s">
        <v>30</v>
      </c>
      <c r="B19">
        <v>40000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8E45-7278-4CC0-B678-FBE193D26419}">
  <sheetPr codeName="Sheet3"/>
  <dimension ref="A1:F50"/>
  <sheetViews>
    <sheetView workbookViewId="0">
      <selection activeCell="D20" sqref="D20"/>
    </sheetView>
  </sheetViews>
  <sheetFormatPr defaultRowHeight="14.4" x14ac:dyDescent="0.3"/>
  <cols>
    <col min="1" max="1" width="12.21875" bestFit="1" customWidth="1"/>
    <col min="2" max="2" width="14.5546875" bestFit="1" customWidth="1"/>
    <col min="3" max="3" width="18.21875" bestFit="1" customWidth="1"/>
    <col min="4" max="4" width="28.5546875" bestFit="1" customWidth="1"/>
    <col min="5" max="5" width="10.5546875" bestFit="1" customWidth="1"/>
    <col min="6" max="6" width="8.109375" bestFit="1" customWidth="1"/>
  </cols>
  <sheetData>
    <row r="1" spans="1:5" ht="15" thickBot="1" x14ac:dyDescent="0.35"/>
    <row r="2" spans="1:5" ht="15" thickBot="1" x14ac:dyDescent="0.35">
      <c r="A2" s="2" t="s">
        <v>55</v>
      </c>
      <c r="B2" s="2" t="s">
        <v>41</v>
      </c>
      <c r="C2" s="2" t="s">
        <v>42</v>
      </c>
    </row>
    <row r="3" spans="1:5" ht="15" thickBot="1" x14ac:dyDescent="0.35">
      <c r="A3" s="3">
        <v>1</v>
      </c>
      <c r="B3" s="8" t="s">
        <v>43</v>
      </c>
      <c r="C3" s="3">
        <v>21</v>
      </c>
      <c r="E3" s="15"/>
    </row>
    <row r="4" spans="1:5" ht="15" thickBot="1" x14ac:dyDescent="0.35">
      <c r="A4" s="3">
        <v>2</v>
      </c>
      <c r="B4" s="9" t="s">
        <v>44</v>
      </c>
      <c r="C4" s="3">
        <v>20</v>
      </c>
      <c r="E4" s="14"/>
    </row>
    <row r="5" spans="1:5" ht="15" thickBot="1" x14ac:dyDescent="0.35">
      <c r="A5" s="3">
        <v>3</v>
      </c>
      <c r="B5" s="8">
        <v>38689</v>
      </c>
      <c r="C5" s="3">
        <v>19</v>
      </c>
      <c r="E5" s="15"/>
    </row>
    <row r="6" spans="1:5" ht="15" thickBot="1" x14ac:dyDescent="0.35">
      <c r="A6" s="3">
        <v>4</v>
      </c>
      <c r="B6" s="8">
        <v>38933</v>
      </c>
      <c r="C6" s="3">
        <v>18</v>
      </c>
      <c r="E6" s="14"/>
    </row>
    <row r="7" spans="1:5" ht="15" thickBot="1" x14ac:dyDescent="0.35">
      <c r="A7" s="3">
        <v>5</v>
      </c>
      <c r="B7" s="8" t="s">
        <v>45</v>
      </c>
      <c r="C7" s="3">
        <v>17</v>
      </c>
      <c r="E7" s="15"/>
    </row>
    <row r="8" spans="1:5" ht="15" thickBot="1" x14ac:dyDescent="0.35">
      <c r="A8" s="3">
        <v>6</v>
      </c>
      <c r="B8" s="8" t="s">
        <v>46</v>
      </c>
      <c r="C8" s="3">
        <v>16</v>
      </c>
      <c r="E8" s="14"/>
    </row>
    <row r="9" spans="1:5" ht="15" thickBot="1" x14ac:dyDescent="0.35">
      <c r="A9" s="3">
        <v>7</v>
      </c>
      <c r="B9" s="8" t="s">
        <v>47</v>
      </c>
      <c r="C9" s="3">
        <v>15</v>
      </c>
      <c r="E9" s="15"/>
    </row>
    <row r="10" spans="1:5" ht="15" thickBot="1" x14ac:dyDescent="0.35">
      <c r="A10" s="3">
        <v>8</v>
      </c>
      <c r="B10" s="8" t="s">
        <v>48</v>
      </c>
      <c r="C10" s="3">
        <v>13</v>
      </c>
      <c r="E10" s="14"/>
    </row>
    <row r="11" spans="1:5" ht="15" thickBot="1" x14ac:dyDescent="0.35">
      <c r="A11" s="3">
        <v>9</v>
      </c>
      <c r="B11" s="8" t="s">
        <v>49</v>
      </c>
      <c r="C11" s="3">
        <v>12</v>
      </c>
      <c r="E11" s="15"/>
    </row>
    <row r="12" spans="1:5" ht="15" thickBot="1" x14ac:dyDescent="0.35">
      <c r="A12" s="3">
        <v>10</v>
      </c>
      <c r="B12" s="8">
        <v>41039</v>
      </c>
      <c r="C12" s="3">
        <v>11</v>
      </c>
      <c r="E12" s="14"/>
    </row>
    <row r="13" spans="1:5" ht="15" thickBot="1" x14ac:dyDescent="0.35">
      <c r="A13" s="3">
        <v>11</v>
      </c>
      <c r="B13" s="8" t="s">
        <v>50</v>
      </c>
      <c r="C13" s="3">
        <v>10</v>
      </c>
      <c r="E13" s="15"/>
    </row>
    <row r="14" spans="1:5" ht="15" thickBot="1" x14ac:dyDescent="0.35">
      <c r="A14" s="3">
        <v>12</v>
      </c>
      <c r="B14" s="8">
        <v>41955</v>
      </c>
      <c r="C14" s="3">
        <v>9</v>
      </c>
      <c r="E14" s="14"/>
    </row>
    <row r="15" spans="1:5" ht="15" thickBot="1" x14ac:dyDescent="0.35">
      <c r="A15" s="3">
        <v>13</v>
      </c>
      <c r="B15" s="8">
        <v>38534</v>
      </c>
      <c r="C15" s="3">
        <v>19</v>
      </c>
      <c r="E15" s="15"/>
    </row>
    <row r="16" spans="1:5" ht="15" thickBot="1" x14ac:dyDescent="0.35">
      <c r="A16" s="3">
        <v>14</v>
      </c>
      <c r="B16" s="8" t="s">
        <v>51</v>
      </c>
      <c r="C16" s="3">
        <v>18</v>
      </c>
      <c r="E16" s="14"/>
    </row>
    <row r="17" spans="1:6" ht="15" thickBot="1" x14ac:dyDescent="0.35">
      <c r="A17" s="3">
        <v>15</v>
      </c>
      <c r="B17" s="8" t="s">
        <v>52</v>
      </c>
      <c r="C17" s="3">
        <v>17</v>
      </c>
      <c r="E17" s="15"/>
    </row>
    <row r="18" spans="1:6" ht="15" thickBot="1" x14ac:dyDescent="0.35">
      <c r="A18" s="3">
        <v>16</v>
      </c>
      <c r="B18" s="8" t="s">
        <v>53</v>
      </c>
      <c r="C18" s="3">
        <v>16</v>
      </c>
      <c r="E18" s="14"/>
    </row>
    <row r="19" spans="1:6" ht="15" thickBot="1" x14ac:dyDescent="0.35">
      <c r="A19" s="3">
        <v>17</v>
      </c>
      <c r="B19" s="8" t="s">
        <v>54</v>
      </c>
      <c r="C19" s="3">
        <v>15</v>
      </c>
      <c r="E19" s="15"/>
    </row>
    <row r="21" spans="1:6" ht="22.8" x14ac:dyDescent="0.3">
      <c r="A21" s="5"/>
    </row>
    <row r="23" spans="1:6" x14ac:dyDescent="0.3">
      <c r="A23" s="6"/>
    </row>
    <row r="24" spans="1:6" ht="15" thickBot="1" x14ac:dyDescent="0.35">
      <c r="A24" s="7"/>
    </row>
    <row r="25" spans="1:6" ht="15" thickBot="1" x14ac:dyDescent="0.35">
      <c r="A25" s="10" t="s">
        <v>40</v>
      </c>
      <c r="B25" s="10" t="s">
        <v>41</v>
      </c>
      <c r="C25" s="11" t="s">
        <v>56</v>
      </c>
    </row>
    <row r="26" spans="1:6" ht="15" thickBot="1" x14ac:dyDescent="0.35">
      <c r="A26" s="12">
        <v>1</v>
      </c>
      <c r="B26" s="12" t="s">
        <v>43</v>
      </c>
      <c r="C26" s="12">
        <v>22</v>
      </c>
    </row>
    <row r="27" spans="1:6" ht="15" thickBot="1" x14ac:dyDescent="0.35">
      <c r="A27" s="12">
        <v>2</v>
      </c>
      <c r="B27" s="12" t="s">
        <v>57</v>
      </c>
      <c r="C27" s="12">
        <v>30</v>
      </c>
      <c r="E27" s="4"/>
      <c r="F27" s="4"/>
    </row>
    <row r="28" spans="1:6" ht="15" thickBot="1" x14ac:dyDescent="0.35">
      <c r="A28" s="12">
        <v>3</v>
      </c>
      <c r="B28" s="13">
        <v>39366</v>
      </c>
      <c r="C28" s="12">
        <v>18</v>
      </c>
      <c r="E28" s="4"/>
      <c r="F28" s="4"/>
    </row>
    <row r="29" spans="1:6" ht="15" thickBot="1" x14ac:dyDescent="0.35">
      <c r="A29" s="12">
        <v>4</v>
      </c>
      <c r="B29" s="13">
        <v>30170</v>
      </c>
      <c r="C29" s="12">
        <v>43</v>
      </c>
      <c r="E29" s="4"/>
      <c r="F29" s="4"/>
    </row>
    <row r="30" spans="1:6" ht="15" thickBot="1" x14ac:dyDescent="0.35">
      <c r="A30" s="12">
        <v>5</v>
      </c>
      <c r="B30" s="12" t="s">
        <v>58</v>
      </c>
      <c r="C30" s="12">
        <v>14</v>
      </c>
      <c r="E30" s="4"/>
      <c r="F30" s="4"/>
    </row>
    <row r="31" spans="1:6" ht="15" thickBot="1" x14ac:dyDescent="0.35">
      <c r="A31" s="12">
        <v>6</v>
      </c>
      <c r="B31" s="13">
        <v>27434</v>
      </c>
      <c r="C31" s="12">
        <v>50</v>
      </c>
      <c r="E31" s="4"/>
      <c r="F31" s="4"/>
    </row>
    <row r="32" spans="1:6" ht="15" thickBot="1" x14ac:dyDescent="0.35">
      <c r="A32" s="12">
        <v>7</v>
      </c>
      <c r="B32" s="12" t="s">
        <v>59</v>
      </c>
      <c r="C32" s="12">
        <v>24</v>
      </c>
      <c r="E32" s="4"/>
      <c r="F32" s="4"/>
    </row>
    <row r="33" spans="1:6" ht="15" thickBot="1" x14ac:dyDescent="0.35">
      <c r="A33" s="12">
        <v>8</v>
      </c>
      <c r="B33" s="13">
        <v>22109</v>
      </c>
      <c r="C33" s="12">
        <v>64</v>
      </c>
      <c r="E33" s="4"/>
      <c r="F33" s="4"/>
    </row>
    <row r="34" spans="1:6" ht="15" thickBot="1" x14ac:dyDescent="0.35">
      <c r="A34" s="12">
        <v>9</v>
      </c>
      <c r="B34" s="12" t="s">
        <v>60</v>
      </c>
      <c r="C34" s="12">
        <v>26</v>
      </c>
      <c r="E34" s="4"/>
      <c r="F34" s="4"/>
    </row>
    <row r="35" spans="1:6" ht="15" thickBot="1" x14ac:dyDescent="0.35">
      <c r="A35" s="12">
        <v>10</v>
      </c>
      <c r="B35" s="13">
        <v>42006</v>
      </c>
      <c r="C35" s="12">
        <v>10</v>
      </c>
      <c r="E35" s="4"/>
      <c r="F35" s="4"/>
    </row>
    <row r="38" spans="1:6" x14ac:dyDescent="0.3">
      <c r="D38" t="s">
        <v>63</v>
      </c>
    </row>
    <row r="39" spans="1:6" x14ac:dyDescent="0.3">
      <c r="A39" s="16" t="s">
        <v>40</v>
      </c>
      <c r="B39" s="16" t="s">
        <v>41</v>
      </c>
      <c r="C39" t="s">
        <v>61</v>
      </c>
      <c r="D39" t="s">
        <v>62</v>
      </c>
    </row>
    <row r="40" spans="1:6" x14ac:dyDescent="0.3">
      <c r="A40" s="16">
        <v>1</v>
      </c>
      <c r="B40" s="17">
        <v>37636</v>
      </c>
      <c r="C40">
        <f ca="1">DATEDIF(B40,TODAY(),"Y")</f>
        <v>22</v>
      </c>
      <c r="D40" t="str">
        <f ca="1">DATEDIF(B40, TODAY(), "Y") &amp; " years, " &amp; DATEDIF(B40, TODAY(), "YM") &amp; " months"</f>
        <v>22 years, 10 months</v>
      </c>
    </row>
    <row r="41" spans="1:6" x14ac:dyDescent="0.3">
      <c r="A41" s="16">
        <v>2</v>
      </c>
      <c r="B41" s="17">
        <v>34845</v>
      </c>
      <c r="C41">
        <f t="shared" ref="C41:C49" ca="1" si="0">DATEDIF(B41,TODAY(),"Y")</f>
        <v>30</v>
      </c>
      <c r="D41" t="str">
        <f t="shared" ref="D41:D49" ca="1" si="1">DATEDIF(B41, TODAY(), "Y") &amp; " years, " &amp; DATEDIF(B41, TODAY(), "YM") &amp; " months"</f>
        <v>30 years, 6 months</v>
      </c>
    </row>
    <row r="42" spans="1:6" x14ac:dyDescent="0.3">
      <c r="A42" s="16">
        <v>3</v>
      </c>
      <c r="B42" s="17">
        <v>39396</v>
      </c>
      <c r="C42">
        <f t="shared" ca="1" si="0"/>
        <v>18</v>
      </c>
      <c r="D42" t="str">
        <f t="shared" ca="1" si="1"/>
        <v>18 years, 0 months</v>
      </c>
    </row>
    <row r="43" spans="1:6" x14ac:dyDescent="0.3">
      <c r="A43" s="16">
        <v>4</v>
      </c>
      <c r="B43" s="17">
        <v>30140</v>
      </c>
      <c r="C43">
        <f t="shared" ca="1" si="0"/>
        <v>43</v>
      </c>
      <c r="D43" t="str">
        <f t="shared" ca="1" si="1"/>
        <v>43 years, 4 months</v>
      </c>
    </row>
    <row r="44" spans="1:6" x14ac:dyDescent="0.3">
      <c r="A44" s="16">
        <v>5</v>
      </c>
      <c r="B44" s="17">
        <v>40631</v>
      </c>
      <c r="C44">
        <f t="shared" ca="1" si="0"/>
        <v>14</v>
      </c>
      <c r="D44" t="str">
        <f t="shared" ca="1" si="1"/>
        <v>14 years, 8 months</v>
      </c>
    </row>
    <row r="45" spans="1:6" x14ac:dyDescent="0.3">
      <c r="A45" s="16">
        <v>6</v>
      </c>
      <c r="B45" s="17">
        <v>27639</v>
      </c>
      <c r="C45">
        <f t="shared" ca="1" si="0"/>
        <v>50</v>
      </c>
      <c r="D45" t="str">
        <f t="shared" ca="1" si="1"/>
        <v>50 years, 3 months</v>
      </c>
    </row>
    <row r="46" spans="1:6" x14ac:dyDescent="0.3">
      <c r="A46" s="16">
        <v>7</v>
      </c>
      <c r="B46" s="17">
        <v>36999</v>
      </c>
      <c r="C46">
        <f t="shared" ca="1" si="0"/>
        <v>24</v>
      </c>
      <c r="D46" t="str">
        <f t="shared" ca="1" si="1"/>
        <v>24 years, 7 months</v>
      </c>
    </row>
    <row r="47" spans="1:6" x14ac:dyDescent="0.3">
      <c r="A47" s="16">
        <v>8</v>
      </c>
      <c r="B47" s="17">
        <v>22257</v>
      </c>
      <c r="C47">
        <f t="shared" ca="1" si="0"/>
        <v>64</v>
      </c>
      <c r="D47" t="str">
        <f t="shared" ca="1" si="1"/>
        <v>64 years, 11 months</v>
      </c>
    </row>
    <row r="48" spans="1:6" x14ac:dyDescent="0.3">
      <c r="A48" s="16">
        <v>9</v>
      </c>
      <c r="B48" s="17">
        <v>36341</v>
      </c>
      <c r="C48">
        <f t="shared" ca="1" si="0"/>
        <v>26</v>
      </c>
      <c r="D48" t="str">
        <f t="shared" ca="1" si="1"/>
        <v>26 years, 5 months</v>
      </c>
    </row>
    <row r="49" spans="1:4" x14ac:dyDescent="0.3">
      <c r="A49" s="16">
        <v>10</v>
      </c>
      <c r="B49" s="17">
        <v>42036</v>
      </c>
      <c r="C49">
        <f t="shared" ca="1" si="0"/>
        <v>10</v>
      </c>
      <c r="D49" t="str">
        <f t="shared" ca="1" si="1"/>
        <v>10 years, 10 months</v>
      </c>
    </row>
    <row r="50" spans="1:4" x14ac:dyDescent="0.3">
      <c r="B50" s="4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C38A-4366-4187-AEDE-F32B570AEC39}">
  <dimension ref="A3:D7"/>
  <sheetViews>
    <sheetView tabSelected="1" workbookViewId="0">
      <selection activeCell="E13" sqref="E13"/>
    </sheetView>
  </sheetViews>
  <sheetFormatPr defaultRowHeight="14.4" x14ac:dyDescent="0.3"/>
  <cols>
    <col min="2" max="2" width="12.77734375" customWidth="1"/>
    <col min="3" max="3" width="16.33203125" customWidth="1"/>
  </cols>
  <sheetData>
    <row r="3" spans="1:4" x14ac:dyDescent="0.3">
      <c r="A3" t="s">
        <v>64</v>
      </c>
      <c r="B3" t="s">
        <v>65</v>
      </c>
      <c r="C3" t="s">
        <v>66</v>
      </c>
    </row>
    <row r="4" spans="1:4" x14ac:dyDescent="0.3">
      <c r="A4" t="s">
        <v>67</v>
      </c>
      <c r="B4">
        <v>400</v>
      </c>
      <c r="C4">
        <v>250</v>
      </c>
      <c r="D4">
        <f>Table5[[#This Row],[Total Marks]]-Table5[[#This Row],[Marks Obtained]]</f>
        <v>150</v>
      </c>
    </row>
    <row r="5" spans="1:4" x14ac:dyDescent="0.3">
      <c r="A5" t="s">
        <v>68</v>
      </c>
      <c r="B5">
        <v>400</v>
      </c>
      <c r="C5">
        <v>200</v>
      </c>
      <c r="D5">
        <f>Table5[[#This Row],[Total Marks]]-Table5[[#This Row],[Marks Obtained]]</f>
        <v>200</v>
      </c>
    </row>
    <row r="6" spans="1:4" x14ac:dyDescent="0.3">
      <c r="A6" t="s">
        <v>69</v>
      </c>
      <c r="B6">
        <v>400</v>
      </c>
      <c r="C6">
        <v>190</v>
      </c>
      <c r="D6">
        <f>Table5[[#This Row],[Total Marks]]-Table5[[#This Row],[Marks Obtained]]</f>
        <v>210</v>
      </c>
    </row>
    <row r="7" spans="1:4" x14ac:dyDescent="0.3">
      <c r="A7" t="s">
        <v>70</v>
      </c>
      <c r="B7">
        <v>400</v>
      </c>
      <c r="C7">
        <v>175</v>
      </c>
      <c r="D7">
        <f>Table5[[#This Row],[Total Marks]]-Table5[[#This Row],[Marks Obtained]]</f>
        <v>225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5E9C-756B-4C79-9887-BAFE34AA5DE1}">
  <sheetPr codeName="Sheet4"/>
  <dimension ref="A1"/>
  <sheetViews>
    <sheetView topLeftCell="A4" zoomScale="72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Dates</vt:lpstr>
      <vt:lpstr>Switch For Multiple Condition</vt:lpstr>
      <vt:lpstr>Age Calculation</vt:lpstr>
      <vt:lpstr>Charts</vt:lpstr>
      <vt:lpstr>Autofit Column Size by Macros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Rastogi</cp:lastModifiedBy>
  <dcterms:created xsi:type="dcterms:W3CDTF">2025-12-06T08:06:56Z</dcterms:created>
  <dcterms:modified xsi:type="dcterms:W3CDTF">2025-12-06T14:23:44Z</dcterms:modified>
</cp:coreProperties>
</file>