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94df8f0cf640e/Desktop/Excel/"/>
    </mc:Choice>
  </mc:AlternateContent>
  <xr:revisionPtr revIDLastSave="14" documentId="8_{310AD510-6EA8-4D81-9247-BEAD16EFEFFF}" xr6:coauthVersionLast="47" xr6:coauthVersionMax="47" xr10:uidLastSave="{6BF1C26E-3DB5-441F-8903-945C1ECE3E5D}"/>
  <bookViews>
    <workbookView xWindow="-108" yWindow="-108" windowWidth="23256" windowHeight="12456" firstSheet="8" activeTab="12" xr2:uid="{00000000-000D-0000-FFFF-FFFF00000000}"/>
  </bookViews>
  <sheets>
    <sheet name="CalcItem" sheetId="4" r:id="rId1"/>
    <sheet name="CalcField" sheetId="8" r:id="rId2"/>
    <sheet name="CalcItemAndField" sheetId="9" r:id="rId3"/>
    <sheet name="Orders" sheetId="1" r:id="rId4"/>
    <sheet name="Lists" sheetId="5" r:id="rId5"/>
    <sheet name="Data0" sheetId="15" r:id="rId6"/>
    <sheet name="Detail1" sheetId="17" state="hidden" r:id="rId7"/>
    <sheet name="Detail2" sheetId="18" state="hidden" r:id="rId8"/>
    <sheet name="options of Pivot table" sheetId="16" r:id="rId9"/>
    <sheet name="data1" sheetId="19" r:id="rId10"/>
    <sheet name="% of Total" sheetId="20" r:id="rId11"/>
    <sheet name="data2" sheetId="21" r:id="rId12"/>
    <sheet name="% of Parent Total" sheetId="22" r:id="rId13"/>
  </sheets>
  <definedNames>
    <definedName name="BonusRate">4%</definedName>
  </definedNames>
  <calcPr calcId="191029"/>
  <pivotCaches>
    <pivotCache cacheId="63" r:id="rId14"/>
    <pivotCache cacheId="68" r:id="rId15"/>
    <pivotCache cacheId="73" r:id="rId16"/>
    <pivotCache cacheId="79" r:id="rId17"/>
  </pivotCaches>
</workbook>
</file>

<file path=xl/calcChain.xml><?xml version="1.0" encoding="utf-8"?>
<calcChain xmlns="http://schemas.openxmlformats.org/spreadsheetml/2006/main">
  <c r="M27" i="22" l="1"/>
  <c r="E34" i="20"/>
  <c r="E25" i="20"/>
  <c r="E24" i="20"/>
  <c r="E14" i="20"/>
  <c r="H20" i="1"/>
  <c r="H59" i="1"/>
  <c r="H35" i="1"/>
  <c r="H47" i="1"/>
  <c r="H32" i="1"/>
  <c r="H48" i="1"/>
  <c r="H39" i="1"/>
  <c r="H17" i="1"/>
  <c r="H23" i="1"/>
  <c r="H2" i="1"/>
  <c r="H62" i="1"/>
  <c r="H44" i="1"/>
  <c r="H53" i="1"/>
  <c r="H11" i="1"/>
  <c r="H65" i="1"/>
  <c r="H8" i="1"/>
  <c r="H14" i="1"/>
  <c r="H36" i="1"/>
  <c r="H21" i="1"/>
  <c r="H41" i="1"/>
  <c r="H24" i="1"/>
  <c r="H25" i="1"/>
  <c r="H15" i="1"/>
  <c r="H18" i="1"/>
  <c r="H26" i="1"/>
  <c r="H5" i="1"/>
  <c r="H12" i="1"/>
  <c r="H27" i="1"/>
  <c r="H45" i="1"/>
  <c r="H3" i="1"/>
  <c r="H49" i="1"/>
  <c r="H16" i="1"/>
  <c r="H56" i="1"/>
  <c r="H28" i="1"/>
  <c r="H54" i="1"/>
  <c r="H37" i="1"/>
  <c r="H50" i="1"/>
  <c r="H55" i="1"/>
  <c r="H60" i="1"/>
  <c r="H29" i="1"/>
  <c r="H33" i="1"/>
  <c r="H13" i="1"/>
  <c r="H61" i="1"/>
  <c r="H34" i="1"/>
  <c r="H6" i="1"/>
  <c r="H4" i="1"/>
  <c r="H22" i="1"/>
  <c r="H40" i="1"/>
  <c r="H46" i="1"/>
  <c r="H51" i="1"/>
  <c r="H9" i="1"/>
  <c r="H19" i="1"/>
  <c r="H30" i="1"/>
  <c r="H57" i="1"/>
  <c r="H31" i="1"/>
  <c r="H52" i="1"/>
  <c r="H42" i="1"/>
  <c r="H63" i="1"/>
  <c r="H10" i="1"/>
  <c r="H58" i="1"/>
  <c r="H7" i="1"/>
  <c r="H64" i="1"/>
  <c r="H43" i="1"/>
  <c r="H38" i="1"/>
  <c r="F27" i="22"/>
  <c r="F26" i="22"/>
  <c r="L49" i="16"/>
  <c r="L48" i="16"/>
  <c r="L7" i="16"/>
  <c r="L6" i="16"/>
  <c r="F49" i="16"/>
  <c r="F50" i="16" s="1"/>
  <c r="F40" i="16"/>
  <c r="F39" i="16"/>
  <c r="D28" i="16"/>
  <c r="D19" i="16"/>
  <c r="D10" i="16"/>
  <c r="F41" i="16" l="1"/>
</calcChain>
</file>

<file path=xl/sharedStrings.xml><?xml version="1.0" encoding="utf-8"?>
<sst xmlns="http://schemas.openxmlformats.org/spreadsheetml/2006/main" count="689" uniqueCount="81">
  <si>
    <t>Date</t>
  </si>
  <si>
    <t>Rep</t>
  </si>
  <si>
    <t>Region</t>
  </si>
  <si>
    <t>Order Status</t>
  </si>
  <si>
    <t>Cost</t>
  </si>
  <si>
    <t>Units</t>
  </si>
  <si>
    <t>Total</t>
  </si>
  <si>
    <t>East</t>
  </si>
  <si>
    <t>Shipped</t>
  </si>
  <si>
    <t>Pencil</t>
  </si>
  <si>
    <t>West</t>
  </si>
  <si>
    <t>Binder</t>
  </si>
  <si>
    <t>Jardine</t>
  </si>
  <si>
    <t>Central</t>
  </si>
  <si>
    <t>Sorvino</t>
  </si>
  <si>
    <t>Andrews</t>
  </si>
  <si>
    <t>Pen</t>
  </si>
  <si>
    <t>Desk</t>
  </si>
  <si>
    <t>Pending</t>
  </si>
  <si>
    <t>Parent</t>
  </si>
  <si>
    <t>Howard</t>
  </si>
  <si>
    <t>Backorder</t>
  </si>
  <si>
    <t>Pen Set</t>
  </si>
  <si>
    <t>Gill</t>
  </si>
  <si>
    <t>Grand Total</t>
  </si>
  <si>
    <t>Product</t>
  </si>
  <si>
    <t>Canceled</t>
  </si>
  <si>
    <t xml:space="preserve"> Units</t>
  </si>
  <si>
    <t>Status</t>
  </si>
  <si>
    <t>Mult</t>
  </si>
  <si>
    <t>Values</t>
  </si>
  <si>
    <t xml:space="preserve"> Total</t>
  </si>
  <si>
    <t>East Total</t>
  </si>
  <si>
    <t>Central Total</t>
  </si>
  <si>
    <t>West Total</t>
  </si>
  <si>
    <t>Sold</t>
  </si>
  <si>
    <t>Row Labels</t>
  </si>
  <si>
    <t xml:space="preserve">Units </t>
  </si>
  <si>
    <t xml:space="preserve">Total </t>
  </si>
  <si>
    <t xml:space="preserve">Bonus </t>
  </si>
  <si>
    <t>Andrews Total</t>
  </si>
  <si>
    <t>Gill Total</t>
  </si>
  <si>
    <t>Howard Total</t>
  </si>
  <si>
    <t>Jardine Total</t>
  </si>
  <si>
    <t>Parent Total</t>
  </si>
  <si>
    <t>Sorvino Total</t>
  </si>
  <si>
    <t>Row</t>
  </si>
  <si>
    <t>Channel</t>
  </si>
  <si>
    <t>Sales</t>
  </si>
  <si>
    <t>Auto</t>
  </si>
  <si>
    <t>Online</t>
  </si>
  <si>
    <t>Prop</t>
  </si>
  <si>
    <t>Branch</t>
  </si>
  <si>
    <t>Column Labels</t>
  </si>
  <si>
    <t>Sum of Sales</t>
  </si>
  <si>
    <t>% of Row Total</t>
  </si>
  <si>
    <t>% of Column Total</t>
  </si>
  <si>
    <t>% of Grand Total</t>
  </si>
  <si>
    <t>Index</t>
  </si>
  <si>
    <t>num=</t>
  </si>
  <si>
    <t>deno=</t>
  </si>
  <si>
    <t>Running Total In</t>
  </si>
  <si>
    <t>Difference From (Base item = Central)</t>
  </si>
  <si>
    <t>Original Pivot Table</t>
  </si>
  <si>
    <t>% Running Total In</t>
  </si>
  <si>
    <t>Details for Sum of Sales - Region: East</t>
  </si>
  <si>
    <t>Rank(Base Field Region) Small to High</t>
  </si>
  <si>
    <t>Rank(Base Field Region)  High to Small</t>
  </si>
  <si>
    <t>Cell/Row Total</t>
  </si>
  <si>
    <t>Cell/Column Total</t>
  </si>
  <si>
    <t>Category</t>
  </si>
  <si>
    <t>North</t>
  </si>
  <si>
    <t>Home</t>
  </si>
  <si>
    <t>South</t>
  </si>
  <si>
    <t>Car</t>
  </si>
  <si>
    <t>Bike</t>
  </si>
  <si>
    <t>Home Basic</t>
  </si>
  <si>
    <t>Home Premium</t>
  </si>
  <si>
    <t>% of Parent Column Total</t>
  </si>
  <si>
    <t>% of Parent Row Total</t>
  </si>
  <si>
    <t>% of parent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</si>
</sst>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71" formatCode="_-[$$-409]* #,##0.00_ ;_-[$$-409]* \-#,##0.00\ ;_-[$$-409]* &quot;-&quot;??_ ;_-@_ "/>
    <numFmt numFmtId="172" formatCode="\$#,##0"/>
  </numFmts>
  <fonts count="12" x14ac:knownFonts="1">
    <font>
      <sz val="11"/>
      <color theme="1"/>
      <name val="Calibri"/>
      <family val="2"/>
      <scheme val="minor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u/>
      <sz val="11"/>
      <color theme="10"/>
      <name val="Arial Narrow"/>
      <family val="2"/>
    </font>
    <font>
      <u/>
      <sz val="10"/>
      <color indexed="12"/>
      <name val="Arial"/>
      <family val="2"/>
    </font>
    <font>
      <sz val="11"/>
      <color theme="1"/>
      <name val="Arial Narro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1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2" fillId="0" borderId="0" applyNumberFormat="0" applyFill="0" applyBorder="0" applyAlignment="0" applyProtection="0">
      <alignment horizontal="left" indent="1"/>
    </xf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  <xf numFmtId="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9" fillId="0" borderId="0" xfId="0" applyFont="1"/>
    <xf numFmtId="0" fontId="0" fillId="0" borderId="0" xfId="0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/>
    <xf numFmtId="0" fontId="0" fillId="0" borderId="0" xfId="0" applyNumberFormat="1"/>
    <xf numFmtId="10" fontId="0" fillId="0" borderId="0" xfId="0" applyNumberFormat="1"/>
    <xf numFmtId="171" fontId="11" fillId="0" borderId="0" xfId="0" applyNumberFormat="1" applyFont="1" applyAlignment="1">
      <alignment horizontal="center" vertical="center" wrapText="1"/>
    </xf>
    <xf numFmtId="171" fontId="0" fillId="0" borderId="0" xfId="0" applyNumberFormat="1" applyAlignment="1">
      <alignment vertical="center" wrapText="1"/>
    </xf>
    <xf numFmtId="171" fontId="0" fillId="0" borderId="0" xfId="0" applyNumberFormat="1"/>
    <xf numFmtId="172" fontId="0" fillId="0" borderId="0" xfId="0" applyNumberFormat="1"/>
  </cellXfs>
  <cellStyles count="19">
    <cellStyle name="Ctx_Hyperlink" xfId="15" xr:uid="{00000000-0005-0000-0000-000000000000}"/>
    <cellStyle name="Hyperlink" xfId="2" builtinId="8" customBuiltin="1"/>
    <cellStyle name="Hyperlink 2" xfId="3" xr:uid="{00000000-0005-0000-0000-000002000000}"/>
    <cellStyle name="Hyperlink 3" xfId="5" xr:uid="{00000000-0005-0000-0000-000003000000}"/>
    <cellStyle name="Hyperlink 4" xfId="16" xr:uid="{00000000-0005-0000-0000-000004000000}"/>
    <cellStyle name="Normal" xfId="0" builtinId="0"/>
    <cellStyle name="Normal 2" xfId="6" xr:uid="{00000000-0005-0000-0000-000006000000}"/>
    <cellStyle name="Normal 2 2" xfId="4" xr:uid="{00000000-0005-0000-0000-000007000000}"/>
    <cellStyle name="Normal 2 3" xfId="7" xr:uid="{00000000-0005-0000-0000-000008000000}"/>
    <cellStyle name="Normal 2 3 2" xfId="1" xr:uid="{00000000-0005-0000-0000-000009000000}"/>
    <cellStyle name="Normal 2 4" xfId="17" xr:uid="{00000000-0005-0000-0000-00000A000000}"/>
    <cellStyle name="Normal 3" xfId="8" xr:uid="{00000000-0005-0000-0000-00000B000000}"/>
    <cellStyle name="Normal 4" xfId="9" xr:uid="{00000000-0005-0000-0000-00000C000000}"/>
    <cellStyle name="Normal 4 2" xfId="18" xr:uid="{B499C5DF-DFAF-4BCD-B141-83D69DB1D71C}"/>
    <cellStyle name="Normal 5" xfId="10" xr:uid="{00000000-0005-0000-0000-00000D000000}"/>
    <cellStyle name="Normal 6" xfId="11" xr:uid="{00000000-0005-0000-0000-00000E000000}"/>
    <cellStyle name="Normal 7" xfId="12" xr:uid="{00000000-0005-0000-0000-00000F000000}"/>
    <cellStyle name="Normal 8" xfId="13" xr:uid="{00000000-0005-0000-0000-000010000000}"/>
    <cellStyle name="Normal 9" xfId="14" xr:uid="{00000000-0005-0000-0000-000011000000}"/>
  </cellStyles>
  <dxfs count="8">
    <dxf>
      <alignment horizontal="right" readingOrder="0"/>
    </dxf>
    <dxf>
      <alignment horizontal="right" readingOrder="0"/>
    </dxf>
    <dxf>
      <alignment horizontal="right" readingOrder="0"/>
    </dxf>
    <dxf>
      <alignment horizontal="left" vertical="bottom" textRotation="0" wrapText="0" indent="1" justifyLastLine="0" shrinkToFit="0" readingOrder="0"/>
    </dxf>
    <dxf>
      <numFmt numFmtId="165" formatCode="mm/dd/yyyy"/>
    </dxf>
    <dxf>
      <alignment horizontal="right" readingOrder="0"/>
    </dxf>
    <dxf>
      <alignment horizontal="right" readingOrder="0"/>
    </dxf>
    <dxf>
      <alignment horizontal="right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205465</xdr:colOff>
      <xdr:row>37</xdr:row>
      <xdr:rowOff>68581</xdr:rowOff>
    </xdr:from>
    <xdr:to>
      <xdr:col>9</xdr:col>
      <xdr:colOff>674231</xdr:colOff>
      <xdr:row>41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E12156-C7F9-B783-F10C-DDDAEDF4A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4625" y="6835141"/>
          <a:ext cx="2934380" cy="74675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bhav Rastogi" refreshedDate="45996.768632870371" missingItemsLimit="0" createdVersion="3" refreshedVersion="8" minRefreshableVersion="3" recordCount="64" xr:uid="{00000000-000A-0000-FFFF-FFFF07000000}">
  <cacheSource type="worksheet">
    <worksheetSource name="Table1"/>
  </cacheSource>
  <cacheFields count="9">
    <cacheField name="Date" numFmtId="14">
      <sharedItems containsSemiMixedTypes="0" containsNonDate="0" containsDate="1" containsString="0" minDate="2022-01-01T00:00:00" maxDate="2022-03-30T00:00:00"/>
    </cacheField>
    <cacheField name="Rep" numFmtId="0">
      <sharedItems count="6">
        <s v="Jardine"/>
        <s v="Howard"/>
        <s v="Andrews"/>
        <s v="Sorvino"/>
        <s v="Parent"/>
        <s v="Gill"/>
      </sharedItems>
    </cacheField>
    <cacheField name="Region" numFmtId="0">
      <sharedItems count="3">
        <s v="Central"/>
        <s v="East"/>
        <s v="West"/>
      </sharedItems>
    </cacheField>
    <cacheField name="Order Status" numFmtId="0">
      <sharedItems count="5">
        <s v="Shipped"/>
        <s v="Canceled"/>
        <s v="Pending"/>
        <s v="Backorder"/>
        <s v="Sold" f="1"/>
      </sharedItems>
    </cacheField>
    <cacheField name="Product" numFmtId="0">
      <sharedItems/>
    </cacheField>
    <cacheField name="Cost" numFmtId="0">
      <sharedItems containsSemiMixedTypes="0" containsString="0" containsNumber="1" minValue="1.99" maxValue="275"/>
    </cacheField>
    <cacheField name="Units" numFmtId="0">
      <sharedItems containsSemiMixedTypes="0" containsString="0" containsNumber="1" containsInteger="1" minValue="1" maxValue="99"/>
    </cacheField>
    <cacheField name="Total" numFmtId="0">
      <sharedItems containsSemiMixedTypes="0" containsString="0" containsNumber="1" minValue="19.96" maxValue="1375"/>
    </cacheField>
    <cacheField name="Bonus" numFmtId="0" formula="3% *Total" databaseField="0"/>
  </cacheFields>
  <calculatedItems count="1">
    <calculatedItem formula="'Order Status'[Backorder]+'Order Status'[Pending]+'Order Status'[Shipped]">
      <pivotArea cacheIndex="1" outline="0" fieldPosition="0">
        <references count="1">
          <reference field="3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bhav Rastogi" refreshedDate="45996.768633217594" createdVersion="8" refreshedVersion="8" minRefreshableVersion="3" recordCount="12" xr:uid="{9B06518F-596A-41B0-944A-A73D644F9126}">
  <cacheSource type="worksheet">
    <worksheetSource ref="A1:E13" sheet="Data0"/>
  </cacheSource>
  <cacheFields count="5">
    <cacheField name="Row" numFmtId="0">
      <sharedItems containsSemiMixedTypes="0" containsString="0" containsNumber="1" containsInteger="1" minValue="1" maxValue="12"/>
    </cacheField>
    <cacheField name="Region" numFmtId="0">
      <sharedItems count="3">
        <s v="Central"/>
        <s v="East"/>
        <s v="West"/>
      </sharedItems>
    </cacheField>
    <cacheField name="Product" numFmtId="0">
      <sharedItems count="2">
        <s v="Auto"/>
        <s v="Prop"/>
      </sharedItems>
    </cacheField>
    <cacheField name="Channel" numFmtId="0">
      <sharedItems/>
    </cacheField>
    <cacheField name="Sales" numFmtId="0">
      <sharedItems containsSemiMixedTypes="0" containsString="0" containsNumber="1" containsInteger="1" minValue="20" maxValue="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bhav Rastogi" refreshedDate="45996.768634259257" createdVersion="8" refreshedVersion="8" minRefreshableVersion="3" recordCount="8" xr:uid="{C2365841-6C7B-421E-B0DB-D84FF306F056}">
  <cacheSource type="worksheet">
    <worksheetSource ref="A1:C9" sheet="data1"/>
  </cacheSource>
  <cacheFields count="3">
    <cacheField name="Region" numFmtId="0">
      <sharedItems count="2">
        <s v="North"/>
        <s v="South"/>
      </sharedItems>
    </cacheField>
    <cacheField name="Category" numFmtId="0">
      <sharedItems count="2">
        <s v="Auto"/>
        <s v="Home"/>
      </sharedItems>
    </cacheField>
    <cacheField name="Sales" numFmtId="171">
      <sharedItems containsSemiMixedTypes="0" containsString="0" containsNumber="1" containsInteger="1" minValue="10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bhav Rastogi" refreshedDate="45996.768634490742" createdVersion="8" refreshedVersion="8" minRefreshableVersion="3" recordCount="8" xr:uid="{EFFBF841-05E0-489F-8A7E-602C870244E4}">
  <cacheSource type="worksheet">
    <worksheetSource ref="A1:D9" sheet="data2"/>
  </cacheSource>
  <cacheFields count="4">
    <cacheField name="Region" numFmtId="0">
      <sharedItems count="2">
        <s v="North"/>
        <s v="South"/>
      </sharedItems>
    </cacheField>
    <cacheField name="Category" numFmtId="0">
      <sharedItems count="2">
        <s v="Auto"/>
        <s v="Home"/>
      </sharedItems>
    </cacheField>
    <cacheField name="Product" numFmtId="0">
      <sharedItems count="4">
        <s v="Car"/>
        <s v="Bike"/>
        <s v="Home Basic"/>
        <s v="Home Premium"/>
      </sharedItems>
    </cacheField>
    <cacheField name="Sales" numFmtId="0">
      <sharedItems containsSemiMixedTypes="0" containsString="0" containsNumber="1" containsInteger="1" minValue="100" maxValue="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d v="2022-01-01T00:00:00"/>
    <x v="0"/>
    <x v="0"/>
    <x v="0"/>
    <s v="Pencil"/>
    <n v="2.99"/>
    <n v="36"/>
    <n v="107.64000000000001"/>
  </r>
  <r>
    <d v="2022-01-02T00:00:00"/>
    <x v="1"/>
    <x v="1"/>
    <x v="0"/>
    <s v="Pencil"/>
    <n v="2.99"/>
    <n v="95"/>
    <n v="284.05"/>
  </r>
  <r>
    <d v="2022-01-03T00:00:00"/>
    <x v="2"/>
    <x v="2"/>
    <x v="0"/>
    <s v="Binder"/>
    <n v="4.99"/>
    <n v="50"/>
    <n v="249.5"/>
  </r>
  <r>
    <d v="2022-01-04T00:00:00"/>
    <x v="1"/>
    <x v="1"/>
    <x v="0"/>
    <s v="Binder"/>
    <n v="4.99"/>
    <n v="60"/>
    <n v="299.40000000000003"/>
  </r>
  <r>
    <d v="2022-01-07T00:00:00"/>
    <x v="2"/>
    <x v="2"/>
    <x v="0"/>
    <s v="Binder"/>
    <n v="4.99"/>
    <n v="27"/>
    <n v="134.73000000000002"/>
  </r>
  <r>
    <d v="2022-01-08T00:00:00"/>
    <x v="3"/>
    <x v="2"/>
    <x v="0"/>
    <s v="Pencil"/>
    <n v="2.99"/>
    <n v="56"/>
    <n v="167.44"/>
  </r>
  <r>
    <d v="2022-01-09T00:00:00"/>
    <x v="0"/>
    <x v="0"/>
    <x v="0"/>
    <s v="Pencil"/>
    <n v="2.99"/>
    <n v="90"/>
    <n v="269.10000000000002"/>
  </r>
  <r>
    <d v="2022-01-10T00:00:00"/>
    <x v="2"/>
    <x v="2"/>
    <x v="0"/>
    <s v="Pencil"/>
    <n v="2.99"/>
    <n v="75"/>
    <n v="224.25000000000003"/>
  </r>
  <r>
    <d v="2022-01-11T00:00:00"/>
    <x v="3"/>
    <x v="2"/>
    <x v="1"/>
    <s v="Pencil"/>
    <n v="2.99"/>
    <n v="32"/>
    <n v="95.68"/>
  </r>
  <r>
    <d v="2022-01-14T00:00:00"/>
    <x v="0"/>
    <x v="0"/>
    <x v="0"/>
    <s v="Pen"/>
    <n v="1.99"/>
    <n v="74"/>
    <n v="147.26"/>
  </r>
  <r>
    <d v="2022-01-15T00:00:00"/>
    <x v="1"/>
    <x v="1"/>
    <x v="1"/>
    <s v="Binder"/>
    <n v="4.99"/>
    <n v="60"/>
    <n v="299.40000000000003"/>
  </r>
  <r>
    <d v="2022-01-16T00:00:00"/>
    <x v="2"/>
    <x v="2"/>
    <x v="0"/>
    <s v="Desk"/>
    <n v="275"/>
    <n v="2"/>
    <n v="550"/>
  </r>
  <r>
    <d v="2022-01-17T00:00:00"/>
    <x v="0"/>
    <x v="0"/>
    <x v="2"/>
    <s v="Pencil"/>
    <n v="2.99"/>
    <n v="90"/>
    <n v="269.10000000000002"/>
  </r>
  <r>
    <d v="2022-01-18T00:00:00"/>
    <x v="1"/>
    <x v="1"/>
    <x v="2"/>
    <s v="Binder"/>
    <n v="4.99"/>
    <n v="29"/>
    <n v="144.71"/>
  </r>
  <r>
    <d v="2022-01-21T00:00:00"/>
    <x v="4"/>
    <x v="1"/>
    <x v="2"/>
    <s v="Desk"/>
    <n v="275"/>
    <n v="1"/>
    <n v="275"/>
  </r>
  <r>
    <d v="2022-01-22T00:00:00"/>
    <x v="0"/>
    <x v="0"/>
    <x v="1"/>
    <s v="Pencil"/>
    <n v="2.99"/>
    <n v="20"/>
    <n v="59.800000000000004"/>
  </r>
  <r>
    <d v="2022-01-23T00:00:00"/>
    <x v="1"/>
    <x v="1"/>
    <x v="3"/>
    <s v="Pencil"/>
    <n v="2.99"/>
    <n v="35"/>
    <n v="104.65"/>
  </r>
  <r>
    <d v="2022-01-24T00:00:00"/>
    <x v="2"/>
    <x v="2"/>
    <x v="3"/>
    <s v="Binder"/>
    <n v="4.99"/>
    <n v="81"/>
    <n v="404.19"/>
  </r>
  <r>
    <d v="2022-01-25T00:00:00"/>
    <x v="5"/>
    <x v="0"/>
    <x v="0"/>
    <s v="Desk"/>
    <n v="275"/>
    <n v="2"/>
    <n v="550"/>
  </r>
  <r>
    <d v="2022-01-28T00:00:00"/>
    <x v="1"/>
    <x v="1"/>
    <x v="3"/>
    <s v="Desk"/>
    <n v="275"/>
    <n v="3"/>
    <n v="825"/>
  </r>
  <r>
    <d v="2022-01-29T00:00:00"/>
    <x v="2"/>
    <x v="2"/>
    <x v="1"/>
    <s v="Pen"/>
    <n v="1.99"/>
    <n v="56"/>
    <n v="111.44"/>
  </r>
  <r>
    <d v="2022-01-30T00:00:00"/>
    <x v="0"/>
    <x v="0"/>
    <x v="0"/>
    <s v="Binder"/>
    <n v="4.99"/>
    <n v="28"/>
    <n v="139.72"/>
  </r>
  <r>
    <d v="2022-01-31T00:00:00"/>
    <x v="1"/>
    <x v="1"/>
    <x v="3"/>
    <s v="Pencil"/>
    <n v="2.99"/>
    <n v="12"/>
    <n v="35.880000000000003"/>
  </r>
  <r>
    <d v="2022-02-01T00:00:00"/>
    <x v="1"/>
    <x v="1"/>
    <x v="0"/>
    <s v="Pen Set"/>
    <n v="4.99"/>
    <n v="16"/>
    <n v="79.84"/>
  </r>
  <r>
    <d v="2022-02-04T00:00:00"/>
    <x v="1"/>
    <x v="1"/>
    <x v="0"/>
    <s v="Pen Set"/>
    <n v="4.99"/>
    <n v="48"/>
    <n v="239.52"/>
  </r>
  <r>
    <d v="2022-02-05T00:00:00"/>
    <x v="1"/>
    <x v="1"/>
    <x v="2"/>
    <s v="Pen"/>
    <n v="1.99"/>
    <n v="64"/>
    <n v="127.36"/>
  </r>
  <r>
    <d v="2022-02-06T00:00:00"/>
    <x v="4"/>
    <x v="1"/>
    <x v="2"/>
    <s v="Pen"/>
    <n v="1.99"/>
    <n v="15"/>
    <n v="29.85"/>
  </r>
  <r>
    <d v="2022-02-07T00:00:00"/>
    <x v="4"/>
    <x v="1"/>
    <x v="2"/>
    <s v="Binder"/>
    <n v="4.99"/>
    <n v="71"/>
    <n v="354.29"/>
  </r>
  <r>
    <d v="2022-02-08T00:00:00"/>
    <x v="2"/>
    <x v="2"/>
    <x v="0"/>
    <s v="Pen Set"/>
    <n v="4.99"/>
    <n v="96"/>
    <n v="479.04"/>
  </r>
  <r>
    <d v="2022-02-11T00:00:00"/>
    <x v="3"/>
    <x v="2"/>
    <x v="0"/>
    <s v="Desk"/>
    <n v="275"/>
    <n v="2"/>
    <n v="550"/>
  </r>
  <r>
    <d v="2022-02-12T00:00:00"/>
    <x v="5"/>
    <x v="0"/>
    <x v="1"/>
    <s v="Pencil"/>
    <n v="2.99"/>
    <n v="67"/>
    <n v="200.33"/>
  </r>
  <r>
    <d v="2022-02-13T00:00:00"/>
    <x v="4"/>
    <x v="1"/>
    <x v="0"/>
    <s v="Pen Set"/>
    <n v="4.99"/>
    <n v="74"/>
    <n v="369.26"/>
  </r>
  <r>
    <d v="2022-02-14T00:00:00"/>
    <x v="2"/>
    <x v="2"/>
    <x v="0"/>
    <s v="Desk"/>
    <n v="275"/>
    <n v="5"/>
    <n v="1375"/>
  </r>
  <r>
    <d v="2022-02-15T00:00:00"/>
    <x v="5"/>
    <x v="0"/>
    <x v="3"/>
    <s v="Binder"/>
    <n v="4.99"/>
    <n v="46"/>
    <n v="229.54000000000002"/>
  </r>
  <r>
    <d v="2022-02-18T00:00:00"/>
    <x v="0"/>
    <x v="0"/>
    <x v="2"/>
    <s v="Pen Set"/>
    <n v="4.99"/>
    <n v="99"/>
    <n v="494.01000000000005"/>
  </r>
  <r>
    <d v="2022-02-19T00:00:00"/>
    <x v="4"/>
    <x v="1"/>
    <x v="0"/>
    <s v="Pen"/>
    <n v="1.99"/>
    <n v="41"/>
    <n v="81.59"/>
  </r>
  <r>
    <d v="2022-02-20T00:00:00"/>
    <x v="5"/>
    <x v="0"/>
    <x v="1"/>
    <s v="Desk"/>
    <n v="275"/>
    <n v="1"/>
    <n v="275"/>
  </r>
  <r>
    <d v="2022-02-21T00:00:00"/>
    <x v="5"/>
    <x v="0"/>
    <x v="0"/>
    <s v="Binder"/>
    <n v="4.99"/>
    <n v="87"/>
    <n v="434.13"/>
  </r>
  <r>
    <d v="2022-02-22T00:00:00"/>
    <x v="2"/>
    <x v="2"/>
    <x v="2"/>
    <s v="Pen Set"/>
    <n v="4.99"/>
    <n v="62"/>
    <n v="309.38"/>
  </r>
  <r>
    <d v="2022-02-25T00:00:00"/>
    <x v="1"/>
    <x v="1"/>
    <x v="0"/>
    <s v="Binder"/>
    <n v="4.99"/>
    <n v="4"/>
    <n v="19.96"/>
  </r>
  <r>
    <d v="2022-02-26T00:00:00"/>
    <x v="3"/>
    <x v="2"/>
    <x v="0"/>
    <s v="Binder"/>
    <n v="4.99"/>
    <n v="7"/>
    <n v="34.93"/>
  </r>
  <r>
    <d v="2022-02-27T00:00:00"/>
    <x v="3"/>
    <x v="2"/>
    <x v="1"/>
    <s v="Binder"/>
    <n v="4.99"/>
    <n v="86"/>
    <n v="429.14000000000004"/>
  </r>
  <r>
    <d v="2022-02-28T00:00:00"/>
    <x v="0"/>
    <x v="0"/>
    <x v="0"/>
    <s v="Pen Set"/>
    <n v="4.99"/>
    <n v="50"/>
    <n v="249.5"/>
  </r>
  <r>
    <d v="2022-03-01T00:00:00"/>
    <x v="1"/>
    <x v="1"/>
    <x v="3"/>
    <s v="Pen Set"/>
    <n v="4.99"/>
    <n v="75"/>
    <n v="374.25"/>
  </r>
  <r>
    <d v="2022-03-04T00:00:00"/>
    <x v="2"/>
    <x v="2"/>
    <x v="2"/>
    <s v="Pencil"/>
    <n v="2.99"/>
    <n v="66"/>
    <n v="197.34"/>
  </r>
  <r>
    <d v="2022-03-05T00:00:00"/>
    <x v="5"/>
    <x v="0"/>
    <x v="2"/>
    <s v="Pencil"/>
    <n v="2.99"/>
    <n v="53"/>
    <n v="158.47"/>
  </r>
  <r>
    <d v="2022-03-06T00:00:00"/>
    <x v="5"/>
    <x v="0"/>
    <x v="0"/>
    <s v="Binder"/>
    <n v="4.99"/>
    <n v="80"/>
    <n v="399.20000000000005"/>
  </r>
  <r>
    <d v="2022-03-07T00:00:00"/>
    <x v="1"/>
    <x v="1"/>
    <x v="0"/>
    <s v="Pen"/>
    <n v="1.99"/>
    <n v="96"/>
    <n v="191.04"/>
  </r>
  <r>
    <d v="2022-03-08T00:00:00"/>
    <x v="4"/>
    <x v="1"/>
    <x v="3"/>
    <s v="Pen Set"/>
    <n v="4.99"/>
    <n v="62"/>
    <n v="309.38"/>
  </r>
  <r>
    <d v="2022-03-11T00:00:00"/>
    <x v="2"/>
    <x v="2"/>
    <x v="2"/>
    <s v="Pen Set"/>
    <n v="4.99"/>
    <n v="68"/>
    <n v="339.32"/>
  </r>
  <r>
    <d v="2022-03-12T00:00:00"/>
    <x v="3"/>
    <x v="2"/>
    <x v="3"/>
    <s v="Desk"/>
    <n v="275"/>
    <n v="2"/>
    <n v="550"/>
  </r>
  <r>
    <d v="2022-03-13T00:00:00"/>
    <x v="0"/>
    <x v="0"/>
    <x v="2"/>
    <s v="Pen Set"/>
    <n v="4.99"/>
    <n v="55"/>
    <n v="274.45"/>
  </r>
  <r>
    <d v="2022-03-14T00:00:00"/>
    <x v="4"/>
    <x v="1"/>
    <x v="0"/>
    <s v="Pencil"/>
    <n v="2.99"/>
    <n v="16"/>
    <n v="47.84"/>
  </r>
  <r>
    <d v="2022-03-15T00:00:00"/>
    <x v="4"/>
    <x v="1"/>
    <x v="2"/>
    <s v="Pencil"/>
    <n v="2.99"/>
    <n v="68"/>
    <n v="203.32000000000002"/>
  </r>
  <r>
    <d v="2022-03-18T00:00:00"/>
    <x v="4"/>
    <x v="1"/>
    <x v="3"/>
    <s v="Desk"/>
    <n v="275"/>
    <n v="5"/>
    <n v="1375"/>
  </r>
  <r>
    <d v="2022-03-19T00:00:00"/>
    <x v="3"/>
    <x v="2"/>
    <x v="0"/>
    <s v="Desk"/>
    <n v="275"/>
    <n v="2"/>
    <n v="550"/>
  </r>
  <r>
    <d v="2022-03-20T00:00:00"/>
    <x v="3"/>
    <x v="2"/>
    <x v="0"/>
    <s v="Pen Set"/>
    <n v="4.99"/>
    <n v="42"/>
    <n v="209.58"/>
  </r>
  <r>
    <d v="2022-03-21T00:00:00"/>
    <x v="5"/>
    <x v="0"/>
    <x v="0"/>
    <s v="Pencil"/>
    <n v="2.99"/>
    <n v="7"/>
    <n v="20.93"/>
  </r>
  <r>
    <d v="2022-03-22T00:00:00"/>
    <x v="4"/>
    <x v="1"/>
    <x v="3"/>
    <s v="Binder"/>
    <n v="4.99"/>
    <n v="70"/>
    <n v="349.3"/>
  </r>
  <r>
    <d v="2022-03-25T00:00:00"/>
    <x v="2"/>
    <x v="2"/>
    <x v="2"/>
    <s v="Desk"/>
    <n v="275"/>
    <n v="4"/>
    <n v="1100"/>
  </r>
  <r>
    <d v="2022-03-26T00:00:00"/>
    <x v="0"/>
    <x v="0"/>
    <x v="3"/>
    <s v="Pencil"/>
    <n v="2.99"/>
    <n v="42"/>
    <n v="125.58000000000001"/>
  </r>
  <r>
    <d v="2022-03-27T00:00:00"/>
    <x v="3"/>
    <x v="2"/>
    <x v="0"/>
    <s v="Pen Set"/>
    <n v="4.99"/>
    <n v="29"/>
    <n v="144.71"/>
  </r>
  <r>
    <d v="2022-03-28T00:00:00"/>
    <x v="3"/>
    <x v="2"/>
    <x v="0"/>
    <s v="Pen"/>
    <n v="1.99"/>
    <n v="76"/>
    <n v="151.24"/>
  </r>
  <r>
    <d v="2022-03-29T00:00:00"/>
    <x v="0"/>
    <x v="0"/>
    <x v="0"/>
    <s v="Pen"/>
    <n v="1.99"/>
    <n v="77"/>
    <n v="153.22999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x v="0"/>
    <s v="Online"/>
    <n v="210"/>
  </r>
  <r>
    <n v="2"/>
    <x v="0"/>
    <x v="1"/>
    <s v="Online"/>
    <n v="200"/>
  </r>
  <r>
    <n v="3"/>
    <x v="1"/>
    <x v="0"/>
    <s v="Online"/>
    <n v="120"/>
  </r>
  <r>
    <n v="4"/>
    <x v="1"/>
    <x v="1"/>
    <s v="Online"/>
    <n v="140"/>
  </r>
  <r>
    <n v="5"/>
    <x v="2"/>
    <x v="0"/>
    <s v="Online"/>
    <n v="170"/>
  </r>
  <r>
    <n v="6"/>
    <x v="2"/>
    <x v="1"/>
    <s v="Online"/>
    <n v="170"/>
  </r>
  <r>
    <n v="7"/>
    <x v="0"/>
    <x v="0"/>
    <s v="Branch"/>
    <n v="50"/>
  </r>
  <r>
    <n v="8"/>
    <x v="0"/>
    <x v="1"/>
    <s v="Branch"/>
    <n v="40"/>
  </r>
  <r>
    <n v="9"/>
    <x v="1"/>
    <x v="0"/>
    <s v="Branch"/>
    <n v="30"/>
  </r>
  <r>
    <n v="10"/>
    <x v="1"/>
    <x v="1"/>
    <s v="Branch"/>
    <n v="20"/>
  </r>
  <r>
    <n v="11"/>
    <x v="2"/>
    <x v="0"/>
    <s v="Branch"/>
    <n v="60"/>
  </r>
  <r>
    <n v="12"/>
    <x v="2"/>
    <x v="1"/>
    <s v="Branch"/>
    <n v="5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300"/>
  </r>
  <r>
    <x v="0"/>
    <x v="0"/>
    <n v="200"/>
  </r>
  <r>
    <x v="0"/>
    <x v="1"/>
    <n v="500"/>
  </r>
  <r>
    <x v="0"/>
    <x v="1"/>
    <n v="100"/>
  </r>
  <r>
    <x v="1"/>
    <x v="0"/>
    <n v="400"/>
  </r>
  <r>
    <x v="1"/>
    <x v="0"/>
    <n v="100"/>
  </r>
  <r>
    <x v="1"/>
    <x v="1"/>
    <n v="300"/>
  </r>
  <r>
    <x v="1"/>
    <x v="1"/>
    <n v="2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300"/>
  </r>
  <r>
    <x v="0"/>
    <x v="0"/>
    <x v="1"/>
    <n v="200"/>
  </r>
  <r>
    <x v="0"/>
    <x v="1"/>
    <x v="2"/>
    <n v="350"/>
  </r>
  <r>
    <x v="0"/>
    <x v="1"/>
    <x v="3"/>
    <n v="250"/>
  </r>
  <r>
    <x v="1"/>
    <x v="0"/>
    <x v="0"/>
    <n v="400"/>
  </r>
  <r>
    <x v="1"/>
    <x v="0"/>
    <x v="1"/>
    <n v="100"/>
  </r>
  <r>
    <x v="1"/>
    <x v="1"/>
    <x v="2"/>
    <n v="300"/>
  </r>
  <r>
    <x v="1"/>
    <x v="1"/>
    <x v="3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63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compact="0" compactData="0" multipleFieldFilters="0">
  <location ref="A3:D14" firstHeaderRow="1" firstDataRow="2" firstDataCol="2"/>
  <pivotFields count="9">
    <pivotField compact="0" numFmtId="14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axis="axisRow" compact="0" outline="0" showAll="0" sortType="ascending">
      <items count="6">
        <item h="1" x="3"/>
        <item x="1"/>
        <item h="1" x="2"/>
        <item h="1" x="0"/>
        <item f="1" x="4"/>
        <item t="default"/>
      </items>
    </pivotField>
    <pivotField compact="0" outline="0" showAll="0" defaultSubtotal="0"/>
    <pivotField compact="0" outline="0" showAll="0"/>
    <pivotField dataField="1" compact="0" outline="0" showAll="0"/>
    <pivotField dataField="1" compact="0" outline="0" showAll="0"/>
    <pivotField compact="0" outline="0" dragToRow="0" dragToCol="0" dragToPage="0" showAll="0" defaultSubtotal="0"/>
  </pivotFields>
  <rowFields count="2">
    <field x="2"/>
    <field x="3"/>
  </rowFields>
  <rowItems count="10">
    <i>
      <x/>
      <x v="1"/>
    </i>
    <i r="1">
      <x v="4"/>
    </i>
    <i t="default">
      <x/>
    </i>
    <i>
      <x v="1"/>
      <x v="1"/>
    </i>
    <i r="1">
      <x v="4"/>
    </i>
    <i t="default">
      <x v="1"/>
    </i>
    <i>
      <x v="2"/>
      <x v="1"/>
    </i>
    <i r="1">
      <x v="4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 Units" fld="6" baseField="0" baseItem="0"/>
    <dataField name=" Total" fld="7" baseField="1" baseItem="0" numFmtId="4"/>
  </dataFields>
  <formats count="1"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63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>
  <location ref="A3:D11" firstHeaderRow="1" firstDataRow="2" firstDataCol="1"/>
  <pivotFields count="9">
    <pivotField numFmtId="14" showAll="0"/>
    <pivotField axis="axisRow" showAll="0">
      <items count="7">
        <item x="2"/>
        <item x="5"/>
        <item x="1"/>
        <item x="0"/>
        <item x="4"/>
        <item x="3"/>
        <item t="default"/>
      </items>
    </pivotField>
    <pivotField showAll="0"/>
    <pivotField showAll="0">
      <items count="6">
        <item x="3"/>
        <item x="1"/>
        <item x="2"/>
        <item x="0"/>
        <item f="1" x="4"/>
        <item t="default"/>
      </items>
    </pivotField>
    <pivotField showAll="0"/>
    <pivotField showAll="0"/>
    <pivotField dataField="1" showAll="0"/>
    <pivotField dataField="1" showAll="0"/>
    <pivotField dataField="1" dragToRow="0" dragToCol="0" dragToPage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Units " fld="6" baseField="0" baseItem="0"/>
    <dataField name="Total " fld="7" baseField="0" baseItem="0" numFmtId="164"/>
    <dataField name="Bonus " fld="8" baseField="0" baseItem="0" numFmtId="164"/>
  </dataFields>
  <formats count="1"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3" cacheId="63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compact="0" compactData="0" multipleFieldFilters="0">
  <location ref="A3:E22" firstHeaderRow="1" firstDataRow="2" firstDataCol="2"/>
  <pivotFields count="9">
    <pivotField compact="0" numFmtId="14" outline="0" showAll="0"/>
    <pivotField axis="axisRow" compact="0" outline="0" showAll="0">
      <items count="7">
        <item x="2"/>
        <item x="5"/>
        <item x="1"/>
        <item x="0"/>
        <item x="4"/>
        <item x="3"/>
        <item t="default"/>
      </items>
    </pivotField>
    <pivotField compact="0" outline="0" showAll="0"/>
    <pivotField axis="axisRow" compact="0" outline="0" showAll="0">
      <items count="6">
        <item h="1" x="3"/>
        <item x="1"/>
        <item h="1" x="2"/>
        <item h="1" x="0"/>
        <item f="1" x="4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2">
    <field x="1"/>
    <field x="3"/>
  </rowFields>
  <rowItems count="18">
    <i>
      <x/>
      <x v="1"/>
    </i>
    <i r="1">
      <x v="4"/>
    </i>
    <i t="default">
      <x/>
    </i>
    <i>
      <x v="1"/>
      <x v="1"/>
    </i>
    <i r="1">
      <x v="4"/>
    </i>
    <i t="default">
      <x v="1"/>
    </i>
    <i>
      <x v="2"/>
      <x v="1"/>
    </i>
    <i r="1">
      <x v="4"/>
    </i>
    <i t="default">
      <x v="2"/>
    </i>
    <i>
      <x v="3"/>
      <x v="1"/>
    </i>
    <i r="1">
      <x v="4"/>
    </i>
    <i t="default">
      <x v="3"/>
    </i>
    <i>
      <x v="4"/>
      <x v="4"/>
    </i>
    <i t="default">
      <x v="4"/>
    </i>
    <i>
      <x v="5"/>
      <x v="1"/>
    </i>
    <i r="1">
      <x v="4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Units " fld="6" baseField="0" baseItem="0"/>
    <dataField name="Total " fld="7" baseField="0" baseItem="0" numFmtId="164"/>
    <dataField name="Bonus " fld="8" baseField="0" baseItem="0" numFmtId="164"/>
  </dataFields>
  <formats count="1"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5D176-82D7-48BF-8580-572E8AE91CFD}" name="PivotTable18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9:J34" firstHeaderRow="1" firstDataRow="2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" fld="4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9B11B-4510-486B-96AE-9F9C3871DFAA}" name="PivotTable17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6:J51" firstHeaderRow="1" firstDataRow="2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" fld="4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5FF34-4793-401A-B4B0-8888C23CA4F0}" name="PivotTable16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0:J25" firstHeaderRow="1" firstDataRow="2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" fld="4" baseField="1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B8882-2BF2-437E-A6C5-E9C89AD4AD93}" name="PivotTable15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J16" firstHeaderRow="1" firstDataRow="2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" fld="4" showDataAs="percentDiff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69335-C17A-422E-9C5A-19659EF02DD9}" name="PivotTable14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J8" firstHeaderRow="1" firstDataRow="2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" fld="4" showDataAs="differenc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6B8B4-1242-4D73-AEB9-267A397A00BA}" name="PivotTable13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6:D51" firstHeaderRow="1" firstDataRow="2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" fld="4" showDataAs="runTotal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46D01-34C1-44AA-97A1-71A8BA80230A}" name="PivotTable11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D43" firstHeaderRow="1" firstDataRow="2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" fld="4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5C902-3BC0-4EC2-A15A-B3B4F595D9BE}" name="PivotTable10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D34" firstHeaderRow="1" firstDataRow="2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" fld="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9E456-BCB6-4EEA-9CBA-08BC1C202911}" name="PivotTable9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D25" firstHeaderRow="1" firstDataRow="2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" fld="4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771EC-0D53-4257-8752-E03244A2088F}" name="PivotTable8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D16" firstHeaderRow="1" firstDataRow="2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" fld="4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FCFD3-2F25-451D-9CA9-014DCF988372}" name="PivotTable7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7B3C8-B266-4E30-8ABE-29997C055901}" name="PivotTable26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2:D36" firstHeaderRow="1" firstDataRow="2" firstDataCol="1"/>
  <pivotFields count="3"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5F9A2-CFCC-46A8-943A-1470D06240CC}" name="PivotTable25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2:D26" firstHeaderRow="1" firstDataRow="2" firstDataCol="1"/>
  <pivotFields count="3"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2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51122-6E8C-488E-ACF6-DA9E954DB2AD}" name="PivotTable24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:D16" firstHeaderRow="1" firstDataRow="2" firstDataCol="1"/>
  <pivotFields count="3"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2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9F806-93CC-40F9-AE21-279F51D64020}" name="PivotTable23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7" firstHeaderRow="1" firstDataRow="2" firstDataCol="1"/>
  <pivotFields count="3"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03420-CBB3-4813-ADFF-2B2F3B10A61F}" name="PivotTable37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4:L36" firstHeaderRow="1" firstDataRow="2" firstDataCol="1"/>
  <pivotFields count="4"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2">
    <field x="0"/>
    <field x="2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3" baseField="0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537E7-E05A-4D40-B4F1-1D70498D384B}" name="PivotTable36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4:E36" firstHeaderRow="1" firstDataRow="2" firstDataCol="1"/>
  <pivotFields count="4"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2">
    <field x="0"/>
    <field x="2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3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27CD0-4006-40A3-9005-BAD0D9340BB3}" name="PivotTable35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E14" firstHeaderRow="1" firstDataRow="2" firstDataCol="1"/>
  <pivotFields count="4"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2">
    <field x="0"/>
    <field x="2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3" baseField="0" baseItem="0" numFmtId="17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FDE8A-BBA0-4773-9943-581E33544DA7}" name="PivotTable34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L14" firstHeaderRow="1" firstDataRow="2" firstDataCol="1"/>
  <pivotFields count="4"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2">
    <field x="0"/>
    <field x="2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3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65" totalsRowShown="0">
  <sortState xmlns:xlrd2="http://schemas.microsoft.com/office/spreadsheetml/2017/richdata2" ref="A2:H81">
    <sortCondition ref="A2"/>
  </sortState>
  <tableColumns count="8">
    <tableColumn id="1" xr3:uid="{00000000-0010-0000-0000-000001000000}" name="Date" dataDxfId="4"/>
    <tableColumn id="2" xr3:uid="{00000000-0010-0000-0000-000002000000}" name="Rep"/>
    <tableColumn id="3" xr3:uid="{00000000-0010-0000-0000-000003000000}" name="Region"/>
    <tableColumn id="4" xr3:uid="{00000000-0010-0000-0000-000004000000}" name="Order Status"/>
    <tableColumn id="5" xr3:uid="{00000000-0010-0000-0000-000005000000}" name="Product"/>
    <tableColumn id="6" xr3:uid="{00000000-0010-0000-0000-000006000000}" name="Cost"/>
    <tableColumn id="7" xr3:uid="{00000000-0010-0000-0000-000007000000}" name="Units"/>
    <tableColumn id="8" xr3:uid="{00000000-0010-0000-0000-000008000000}" name="Total">
      <calculatedColumnFormula>Table1[[#This Row],[Cost]]*Table1[[#This Row],[Units]]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1:C5" totalsRowShown="0">
  <autoFilter ref="B1:C5" xr:uid="{00000000-0009-0000-0100-000002000000}"/>
  <tableColumns count="2">
    <tableColumn id="1" xr3:uid="{00000000-0010-0000-0100-000001000000}" name="Status" dataDxfId="3"/>
    <tableColumn id="2" xr3:uid="{00000000-0010-0000-0100-000002000000}" name="Mul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47CC26-F6A8-470E-82A8-3DDCE9C118F2}" name="Table3" displayName="Table3" ref="A3:E7" totalsRowShown="0">
  <autoFilter ref="A3:E7" xr:uid="{B247CC26-F6A8-470E-82A8-3DDCE9C118F2}"/>
  <tableColumns count="5">
    <tableColumn id="1" xr3:uid="{B41789B2-3D5A-4F4E-8E34-26F1778370EF}" name="Row"/>
    <tableColumn id="2" xr3:uid="{32A74D7C-BAB7-4D85-9E14-C6DFB3320CB0}" name="Region"/>
    <tableColumn id="3" xr3:uid="{0DA4BFC8-EF59-4434-B4D8-E5A89878000E}" name="Product"/>
    <tableColumn id="4" xr3:uid="{DE0EF199-51D1-45CD-8B30-EF96A8934FA4}" name="Channel"/>
    <tableColumn id="5" xr3:uid="{0B551256-FCB1-4435-BADB-2DA383B4A39E}" name="Sal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22DCEF-5C87-4782-84C4-FCD7DC700CAC}" name="Table4" displayName="Table4" ref="A3:E7" totalsRowShown="0">
  <autoFilter ref="A3:E7" xr:uid="{D322DCEF-5C87-4782-84C4-FCD7DC700CAC}"/>
  <tableColumns count="5">
    <tableColumn id="1" xr3:uid="{2FBFAE85-8C9C-4CDA-82D0-C7975B41B622}" name="Row"/>
    <tableColumn id="2" xr3:uid="{10497FC9-41B5-42D8-BD92-B1BB65B26A74}" name="Region"/>
    <tableColumn id="3" xr3:uid="{534312D0-71D2-4142-A76C-33D99F2C4514}" name="Product"/>
    <tableColumn id="4" xr3:uid="{9A288180-AE3A-44C6-89A1-458FA2690AAA}" name="Channel"/>
    <tableColumn id="5" xr3:uid="{29C2F1F7-332A-47C7-87AB-4FF59C114AF3}" name="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1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12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11" Type="http://schemas.openxmlformats.org/officeDocument/2006/relationships/pivotTable" Target="../pivotTables/pivotTable14.xml"/><Relationship Id="rId5" Type="http://schemas.openxmlformats.org/officeDocument/2006/relationships/pivotTable" Target="../pivotTables/pivotTable8.xml"/><Relationship Id="rId10" Type="http://schemas.openxmlformats.org/officeDocument/2006/relationships/pivotTable" Target="../pivotTables/pivotTable13.xml"/><Relationship Id="rId4" Type="http://schemas.openxmlformats.org/officeDocument/2006/relationships/pivotTable" Target="../pivotTables/pivotTable7.xml"/><Relationship Id="rId9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4" Type="http://schemas.openxmlformats.org/officeDocument/2006/relationships/pivotTable" Target="../pivotTables/pivotTable1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1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4" Type="http://schemas.openxmlformats.org/officeDocument/2006/relationships/pivotTable" Target="../pivotTables/pivot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D14"/>
  <sheetViews>
    <sheetView workbookViewId="0">
      <selection sqref="A1:B1"/>
    </sheetView>
  </sheetViews>
  <sheetFormatPr defaultRowHeight="14.4" x14ac:dyDescent="0.3"/>
  <cols>
    <col min="1" max="1" width="13.5546875" customWidth="1"/>
    <col min="2" max="2" width="13.6640625" bestFit="1" customWidth="1"/>
    <col min="3" max="3" width="6.5546875" bestFit="1" customWidth="1"/>
    <col min="4" max="4" width="9.109375" customWidth="1"/>
    <col min="5" max="5" width="10.6640625" bestFit="1" customWidth="1"/>
  </cols>
  <sheetData>
    <row r="1" spans="1:4" ht="18" x14ac:dyDescent="0.35">
      <c r="A1" s="8"/>
    </row>
    <row r="2" spans="1:4" ht="9" customHeight="1" x14ac:dyDescent="0.3"/>
    <row r="3" spans="1:4" x14ac:dyDescent="0.3">
      <c r="C3" s="2" t="s">
        <v>30</v>
      </c>
    </row>
    <row r="4" spans="1:4" x14ac:dyDescent="0.3">
      <c r="A4" s="2" t="s">
        <v>2</v>
      </c>
      <c r="B4" s="2" t="s">
        <v>3</v>
      </c>
      <c r="C4" s="4" t="s">
        <v>27</v>
      </c>
      <c r="D4" s="4" t="s">
        <v>31</v>
      </c>
    </row>
    <row r="5" spans="1:4" x14ac:dyDescent="0.3">
      <c r="A5" t="s">
        <v>7</v>
      </c>
      <c r="B5" t="s">
        <v>26</v>
      </c>
      <c r="C5" s="14">
        <v>60</v>
      </c>
      <c r="D5" s="5">
        <v>299.40000000000003</v>
      </c>
    </row>
    <row r="6" spans="1:4" x14ac:dyDescent="0.3">
      <c r="B6" t="s">
        <v>35</v>
      </c>
      <c r="C6" s="14">
        <v>960</v>
      </c>
      <c r="D6" s="5">
        <v>6120.49</v>
      </c>
    </row>
    <row r="7" spans="1:4" x14ac:dyDescent="0.3">
      <c r="A7" t="s">
        <v>32</v>
      </c>
      <c r="C7" s="14">
        <v>1020</v>
      </c>
      <c r="D7" s="5">
        <v>6419.8899999999994</v>
      </c>
    </row>
    <row r="8" spans="1:4" x14ac:dyDescent="0.3">
      <c r="A8" t="s">
        <v>13</v>
      </c>
      <c r="B8" t="s">
        <v>26</v>
      </c>
      <c r="C8" s="14">
        <v>88</v>
      </c>
      <c r="D8" s="5">
        <v>535.13</v>
      </c>
    </row>
    <row r="9" spans="1:4" x14ac:dyDescent="0.3">
      <c r="B9" t="s">
        <v>35</v>
      </c>
      <c r="C9" s="14">
        <v>916</v>
      </c>
      <c r="D9" s="5">
        <v>4021.86</v>
      </c>
    </row>
    <row r="10" spans="1:4" x14ac:dyDescent="0.3">
      <c r="A10" t="s">
        <v>33</v>
      </c>
      <c r="C10" s="14">
        <v>1004</v>
      </c>
      <c r="D10" s="5">
        <v>4556.99</v>
      </c>
    </row>
    <row r="11" spans="1:4" x14ac:dyDescent="0.3">
      <c r="A11" t="s">
        <v>10</v>
      </c>
      <c r="B11" t="s">
        <v>26</v>
      </c>
      <c r="C11" s="14">
        <v>174</v>
      </c>
      <c r="D11" s="5">
        <v>636.26</v>
      </c>
    </row>
    <row r="12" spans="1:4" x14ac:dyDescent="0.3">
      <c r="B12" t="s">
        <v>35</v>
      </c>
      <c r="C12" s="14">
        <v>752</v>
      </c>
      <c r="D12" s="5">
        <v>7720.65</v>
      </c>
    </row>
    <row r="13" spans="1:4" x14ac:dyDescent="0.3">
      <c r="A13" t="s">
        <v>34</v>
      </c>
      <c r="C13" s="14">
        <v>926</v>
      </c>
      <c r="D13" s="5">
        <v>8356.91</v>
      </c>
    </row>
    <row r="14" spans="1:4" x14ac:dyDescent="0.3">
      <c r="A14" t="s">
        <v>24</v>
      </c>
      <c r="C14" s="14">
        <v>2950</v>
      </c>
      <c r="D14" s="5">
        <v>19333.79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11"/>
  <sheetViews>
    <sheetView workbookViewId="0">
      <selection sqref="A1:C1"/>
    </sheetView>
  </sheetViews>
  <sheetFormatPr defaultRowHeight="14.4" x14ac:dyDescent="0.3"/>
  <cols>
    <col min="1" max="1" width="12.5546875" bestFit="1" customWidth="1"/>
    <col min="2" max="2" width="6.5546875" bestFit="1" customWidth="1"/>
    <col min="3" max="3" width="10.109375" bestFit="1" customWidth="1"/>
    <col min="4" max="4" width="7.5546875" bestFit="1" customWidth="1"/>
  </cols>
  <sheetData>
    <row r="1" spans="1:4" ht="18" x14ac:dyDescent="0.35">
      <c r="A1" s="8"/>
    </row>
    <row r="3" spans="1:4" x14ac:dyDescent="0.3">
      <c r="B3" s="2" t="s">
        <v>30</v>
      </c>
    </row>
    <row r="4" spans="1:4" x14ac:dyDescent="0.3">
      <c r="A4" s="2" t="s">
        <v>36</v>
      </c>
      <c r="B4" s="4" t="s">
        <v>37</v>
      </c>
      <c r="C4" s="4" t="s">
        <v>38</v>
      </c>
      <c r="D4" t="s">
        <v>39</v>
      </c>
    </row>
    <row r="5" spans="1:4" x14ac:dyDescent="0.3">
      <c r="A5" s="6" t="s">
        <v>15</v>
      </c>
      <c r="B5" s="14">
        <v>592</v>
      </c>
      <c r="C5" s="7">
        <v>5474.1900000000005</v>
      </c>
      <c r="D5" s="7">
        <v>164.22570000000002</v>
      </c>
    </row>
    <row r="6" spans="1:4" x14ac:dyDescent="0.3">
      <c r="A6" s="6" t="s">
        <v>23</v>
      </c>
      <c r="B6" s="14">
        <v>343</v>
      </c>
      <c r="C6" s="7">
        <v>2267.6</v>
      </c>
      <c r="D6" s="7">
        <v>68.027999999999992</v>
      </c>
    </row>
    <row r="7" spans="1:4" x14ac:dyDescent="0.3">
      <c r="A7" s="6" t="s">
        <v>20</v>
      </c>
      <c r="B7" s="14">
        <v>597</v>
      </c>
      <c r="C7" s="7">
        <v>3025.0600000000004</v>
      </c>
      <c r="D7" s="7">
        <v>90.751800000000003</v>
      </c>
    </row>
    <row r="8" spans="1:4" x14ac:dyDescent="0.3">
      <c r="A8" s="6" t="s">
        <v>12</v>
      </c>
      <c r="B8" s="14">
        <v>661</v>
      </c>
      <c r="C8" s="7">
        <v>2289.3900000000003</v>
      </c>
      <c r="D8" s="7">
        <v>68.681700000000006</v>
      </c>
    </row>
    <row r="9" spans="1:4" x14ac:dyDescent="0.3">
      <c r="A9" s="6" t="s">
        <v>19</v>
      </c>
      <c r="B9" s="14">
        <v>423</v>
      </c>
      <c r="C9" s="7">
        <v>3394.83</v>
      </c>
      <c r="D9" s="7">
        <v>101.8449</v>
      </c>
    </row>
    <row r="10" spans="1:4" x14ac:dyDescent="0.3">
      <c r="A10" s="6" t="s">
        <v>14</v>
      </c>
      <c r="B10" s="14">
        <v>334</v>
      </c>
      <c r="C10" s="7">
        <v>2882.7200000000003</v>
      </c>
      <c r="D10" s="7">
        <v>86.4816</v>
      </c>
    </row>
    <row r="11" spans="1:4" x14ac:dyDescent="0.3">
      <c r="A11" s="6" t="s">
        <v>24</v>
      </c>
      <c r="B11" s="14">
        <v>2950</v>
      </c>
      <c r="C11" s="7">
        <v>19333.79</v>
      </c>
      <c r="D11" s="7">
        <v>580.01369999999997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E22"/>
  <sheetViews>
    <sheetView workbookViewId="0"/>
  </sheetViews>
  <sheetFormatPr defaultRowHeight="14.4" x14ac:dyDescent="0.3"/>
  <cols>
    <col min="1" max="1" width="13.33203125" bestFit="1" customWidth="1"/>
    <col min="2" max="2" width="13.6640625" bestFit="1" customWidth="1"/>
    <col min="3" max="3" width="6.5546875" bestFit="1" customWidth="1"/>
    <col min="4" max="4" width="10.109375" bestFit="1" customWidth="1"/>
    <col min="5" max="5" width="7.5546875" customWidth="1"/>
  </cols>
  <sheetData>
    <row r="1" spans="1:5" ht="18" x14ac:dyDescent="0.35">
      <c r="A1" s="8"/>
    </row>
    <row r="3" spans="1:5" x14ac:dyDescent="0.3">
      <c r="C3" s="2" t="s">
        <v>30</v>
      </c>
    </row>
    <row r="4" spans="1:5" x14ac:dyDescent="0.3">
      <c r="A4" s="2" t="s">
        <v>1</v>
      </c>
      <c r="B4" s="2" t="s">
        <v>3</v>
      </c>
      <c r="C4" s="4" t="s">
        <v>37</v>
      </c>
      <c r="D4" s="4" t="s">
        <v>38</v>
      </c>
      <c r="E4" t="s">
        <v>39</v>
      </c>
    </row>
    <row r="5" spans="1:5" x14ac:dyDescent="0.3">
      <c r="A5" t="s">
        <v>15</v>
      </c>
      <c r="B5" t="s">
        <v>26</v>
      </c>
      <c r="C5" s="14">
        <v>56</v>
      </c>
      <c r="D5" s="7">
        <v>111.44</v>
      </c>
      <c r="E5" s="7">
        <v>3.3431999999999999</v>
      </c>
    </row>
    <row r="6" spans="1:5" x14ac:dyDescent="0.3">
      <c r="B6" t="s">
        <v>35</v>
      </c>
      <c r="C6" s="14">
        <v>536</v>
      </c>
      <c r="D6" s="7">
        <v>5362.75</v>
      </c>
      <c r="E6" s="7">
        <v>160.88249999999999</v>
      </c>
    </row>
    <row r="7" spans="1:5" x14ac:dyDescent="0.3">
      <c r="A7" t="s">
        <v>40</v>
      </c>
      <c r="C7" s="14">
        <v>592</v>
      </c>
      <c r="D7" s="7">
        <v>5474.19</v>
      </c>
      <c r="E7" s="7">
        <v>164.22569999999999</v>
      </c>
    </row>
    <row r="8" spans="1:5" x14ac:dyDescent="0.3">
      <c r="A8" t="s">
        <v>23</v>
      </c>
      <c r="B8" t="s">
        <v>26</v>
      </c>
      <c r="C8" s="14">
        <v>68</v>
      </c>
      <c r="D8" s="7">
        <v>475.33000000000004</v>
      </c>
      <c r="E8" s="7">
        <v>14.2599</v>
      </c>
    </row>
    <row r="9" spans="1:5" x14ac:dyDescent="0.3">
      <c r="B9" t="s">
        <v>35</v>
      </c>
      <c r="C9" s="14">
        <v>275</v>
      </c>
      <c r="D9" s="7">
        <v>1792.27</v>
      </c>
      <c r="E9" s="7">
        <v>53.768099999999997</v>
      </c>
    </row>
    <row r="10" spans="1:5" x14ac:dyDescent="0.3">
      <c r="A10" t="s">
        <v>41</v>
      </c>
      <c r="C10" s="14">
        <v>343</v>
      </c>
      <c r="D10" s="7">
        <v>2267.6</v>
      </c>
      <c r="E10" s="7">
        <v>68.027999999999992</v>
      </c>
    </row>
    <row r="11" spans="1:5" x14ac:dyDescent="0.3">
      <c r="A11" t="s">
        <v>20</v>
      </c>
      <c r="B11" t="s">
        <v>26</v>
      </c>
      <c r="C11" s="14">
        <v>60</v>
      </c>
      <c r="D11" s="7">
        <v>299.40000000000003</v>
      </c>
      <c r="E11" s="7">
        <v>8.9820000000000011</v>
      </c>
    </row>
    <row r="12" spans="1:5" x14ac:dyDescent="0.3">
      <c r="B12" t="s">
        <v>35</v>
      </c>
      <c r="C12" s="14">
        <v>537</v>
      </c>
      <c r="D12" s="7">
        <v>2725.66</v>
      </c>
      <c r="E12" s="7">
        <v>81.769799999999989</v>
      </c>
    </row>
    <row r="13" spans="1:5" x14ac:dyDescent="0.3">
      <c r="A13" t="s">
        <v>42</v>
      </c>
      <c r="C13" s="14">
        <v>597</v>
      </c>
      <c r="D13" s="7">
        <v>3025.06</v>
      </c>
      <c r="E13" s="7">
        <v>90.751799999999989</v>
      </c>
    </row>
    <row r="14" spans="1:5" x14ac:dyDescent="0.3">
      <c r="A14" t="s">
        <v>12</v>
      </c>
      <c r="B14" t="s">
        <v>26</v>
      </c>
      <c r="C14" s="14">
        <v>20</v>
      </c>
      <c r="D14" s="7">
        <v>59.800000000000004</v>
      </c>
      <c r="E14" s="7">
        <v>1.794</v>
      </c>
    </row>
    <row r="15" spans="1:5" x14ac:dyDescent="0.3">
      <c r="B15" t="s">
        <v>35</v>
      </c>
      <c r="C15" s="14">
        <v>641</v>
      </c>
      <c r="D15" s="7">
        <v>2229.59</v>
      </c>
      <c r="E15" s="7">
        <v>66.887699999999995</v>
      </c>
    </row>
    <row r="16" spans="1:5" x14ac:dyDescent="0.3">
      <c r="A16" t="s">
        <v>43</v>
      </c>
      <c r="C16" s="14">
        <v>661</v>
      </c>
      <c r="D16" s="7">
        <v>2289.3900000000003</v>
      </c>
      <c r="E16" s="7">
        <v>68.681700000000006</v>
      </c>
    </row>
    <row r="17" spans="1:5" x14ac:dyDescent="0.3">
      <c r="A17" t="s">
        <v>19</v>
      </c>
      <c r="B17" t="s">
        <v>35</v>
      </c>
      <c r="C17" s="14">
        <v>423</v>
      </c>
      <c r="D17" s="7">
        <v>3394.8300000000004</v>
      </c>
      <c r="E17" s="7">
        <v>101.84490000000001</v>
      </c>
    </row>
    <row r="18" spans="1:5" x14ac:dyDescent="0.3">
      <c r="A18" t="s">
        <v>44</v>
      </c>
      <c r="C18" s="14">
        <v>423</v>
      </c>
      <c r="D18" s="7">
        <v>3394.8300000000004</v>
      </c>
      <c r="E18" s="7">
        <v>101.84490000000001</v>
      </c>
    </row>
    <row r="19" spans="1:5" x14ac:dyDescent="0.3">
      <c r="A19" t="s">
        <v>14</v>
      </c>
      <c r="B19" t="s">
        <v>26</v>
      </c>
      <c r="C19" s="14">
        <v>118</v>
      </c>
      <c r="D19" s="7">
        <v>524.82000000000005</v>
      </c>
      <c r="E19" s="7">
        <v>15.7446</v>
      </c>
    </row>
    <row r="20" spans="1:5" x14ac:dyDescent="0.3">
      <c r="B20" t="s">
        <v>35</v>
      </c>
      <c r="C20" s="14">
        <v>216</v>
      </c>
      <c r="D20" s="7">
        <v>2357.8999999999996</v>
      </c>
      <c r="E20" s="7">
        <v>70.736999999999981</v>
      </c>
    </row>
    <row r="21" spans="1:5" x14ac:dyDescent="0.3">
      <c r="A21" t="s">
        <v>45</v>
      </c>
      <c r="C21" s="14">
        <v>334</v>
      </c>
      <c r="D21" s="7">
        <v>2882.72</v>
      </c>
      <c r="E21" s="7">
        <v>86.481599999999986</v>
      </c>
    </row>
    <row r="22" spans="1:5" x14ac:dyDescent="0.3">
      <c r="A22" t="s">
        <v>24</v>
      </c>
      <c r="C22" s="14">
        <v>2950</v>
      </c>
      <c r="D22" s="7">
        <v>19333.79</v>
      </c>
      <c r="E22" s="7">
        <v>580.01369999999997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H65"/>
  <sheetViews>
    <sheetView workbookViewId="0">
      <pane ySplit="1" topLeftCell="A2" activePane="bottomLeft" state="frozen"/>
      <selection pane="bottomLeft" activeCell="F5" sqref="A1:H65"/>
    </sheetView>
  </sheetViews>
  <sheetFormatPr defaultRowHeight="14.4" x14ac:dyDescent="0.3"/>
  <cols>
    <col min="1" max="1" width="10.5546875" style="1" bestFit="1" customWidth="1"/>
    <col min="4" max="4" width="13" customWidth="1"/>
    <col min="8" max="8" width="12.6640625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25</v>
      </c>
      <c r="F1" t="s">
        <v>4</v>
      </c>
      <c r="G1" t="s">
        <v>5</v>
      </c>
      <c r="H1" t="s">
        <v>6</v>
      </c>
    </row>
    <row r="2" spans="1:8" x14ac:dyDescent="0.3">
      <c r="A2" s="1">
        <v>44562</v>
      </c>
      <c r="B2" t="s">
        <v>12</v>
      </c>
      <c r="C2" t="s">
        <v>13</v>
      </c>
      <c r="D2" t="s">
        <v>8</v>
      </c>
      <c r="E2" t="s">
        <v>9</v>
      </c>
      <c r="F2">
        <v>2.99</v>
      </c>
      <c r="G2">
        <v>36</v>
      </c>
      <c r="H2">
        <f>Table1[[#This Row],[Cost]]*Table1[[#This Row],[Units]]</f>
        <v>107.64000000000001</v>
      </c>
    </row>
    <row r="3" spans="1:8" x14ac:dyDescent="0.3">
      <c r="A3" s="1">
        <v>44563</v>
      </c>
      <c r="B3" t="s">
        <v>20</v>
      </c>
      <c r="C3" t="s">
        <v>7</v>
      </c>
      <c r="D3" t="s">
        <v>8</v>
      </c>
      <c r="E3" t="s">
        <v>9</v>
      </c>
      <c r="F3">
        <v>2.99</v>
      </c>
      <c r="G3">
        <v>95</v>
      </c>
      <c r="H3">
        <f>Table1[[#This Row],[Cost]]*Table1[[#This Row],[Units]]</f>
        <v>284.05</v>
      </c>
    </row>
    <row r="4" spans="1:8" x14ac:dyDescent="0.3">
      <c r="A4" s="1">
        <v>44564</v>
      </c>
      <c r="B4" t="s">
        <v>15</v>
      </c>
      <c r="C4" t="s">
        <v>10</v>
      </c>
      <c r="D4" t="s">
        <v>8</v>
      </c>
      <c r="E4" t="s">
        <v>11</v>
      </c>
      <c r="F4">
        <v>4.99</v>
      </c>
      <c r="G4">
        <v>50</v>
      </c>
      <c r="H4">
        <f>Table1[[#This Row],[Cost]]*Table1[[#This Row],[Units]]</f>
        <v>249.5</v>
      </c>
    </row>
    <row r="5" spans="1:8" x14ac:dyDescent="0.3">
      <c r="A5" s="1">
        <v>44565</v>
      </c>
      <c r="B5" t="s">
        <v>20</v>
      </c>
      <c r="C5" t="s">
        <v>7</v>
      </c>
      <c r="D5" t="s">
        <v>8</v>
      </c>
      <c r="E5" t="s">
        <v>11</v>
      </c>
      <c r="F5">
        <v>4.99</v>
      </c>
      <c r="G5">
        <v>60</v>
      </c>
      <c r="H5">
        <f>Table1[[#This Row],[Cost]]*Table1[[#This Row],[Units]]</f>
        <v>299.40000000000003</v>
      </c>
    </row>
    <row r="6" spans="1:8" x14ac:dyDescent="0.3">
      <c r="A6" s="1">
        <v>44568</v>
      </c>
      <c r="B6" t="s">
        <v>15</v>
      </c>
      <c r="C6" t="s">
        <v>10</v>
      </c>
      <c r="D6" t="s">
        <v>8</v>
      </c>
      <c r="E6" t="s">
        <v>11</v>
      </c>
      <c r="F6">
        <v>4.99</v>
      </c>
      <c r="G6">
        <v>27</v>
      </c>
      <c r="H6">
        <f>Table1[[#This Row],[Cost]]*Table1[[#This Row],[Units]]</f>
        <v>134.73000000000002</v>
      </c>
    </row>
    <row r="7" spans="1:8" x14ac:dyDescent="0.3">
      <c r="A7" s="1">
        <v>44569</v>
      </c>
      <c r="B7" t="s">
        <v>14</v>
      </c>
      <c r="C7" t="s">
        <v>10</v>
      </c>
      <c r="D7" t="s">
        <v>8</v>
      </c>
      <c r="E7" t="s">
        <v>9</v>
      </c>
      <c r="F7">
        <v>2.99</v>
      </c>
      <c r="G7">
        <v>56</v>
      </c>
      <c r="H7">
        <f>Table1[[#This Row],[Cost]]*Table1[[#This Row],[Units]]</f>
        <v>167.44</v>
      </c>
    </row>
    <row r="8" spans="1:8" x14ac:dyDescent="0.3">
      <c r="A8" s="1">
        <v>44570</v>
      </c>
      <c r="B8" t="s">
        <v>12</v>
      </c>
      <c r="C8" t="s">
        <v>13</v>
      </c>
      <c r="D8" t="s">
        <v>8</v>
      </c>
      <c r="E8" t="s">
        <v>9</v>
      </c>
      <c r="F8">
        <v>2.99</v>
      </c>
      <c r="G8">
        <v>90</v>
      </c>
      <c r="H8">
        <f>Table1[[#This Row],[Cost]]*Table1[[#This Row],[Units]]</f>
        <v>269.10000000000002</v>
      </c>
    </row>
    <row r="9" spans="1:8" x14ac:dyDescent="0.3">
      <c r="A9" s="1">
        <v>44571</v>
      </c>
      <c r="B9" t="s">
        <v>15</v>
      </c>
      <c r="C9" t="s">
        <v>10</v>
      </c>
      <c r="D9" t="s">
        <v>8</v>
      </c>
      <c r="E9" t="s">
        <v>9</v>
      </c>
      <c r="F9">
        <v>2.99</v>
      </c>
      <c r="G9">
        <v>75</v>
      </c>
      <c r="H9">
        <f>Table1[[#This Row],[Cost]]*Table1[[#This Row],[Units]]</f>
        <v>224.25000000000003</v>
      </c>
    </row>
    <row r="10" spans="1:8" x14ac:dyDescent="0.3">
      <c r="A10" s="1">
        <v>44572</v>
      </c>
      <c r="B10" t="s">
        <v>14</v>
      </c>
      <c r="C10" t="s">
        <v>10</v>
      </c>
      <c r="D10" t="s">
        <v>26</v>
      </c>
      <c r="E10" t="s">
        <v>9</v>
      </c>
      <c r="F10">
        <v>2.99</v>
      </c>
      <c r="G10">
        <v>32</v>
      </c>
      <c r="H10">
        <f>Table1[[#This Row],[Cost]]*Table1[[#This Row],[Units]]</f>
        <v>95.68</v>
      </c>
    </row>
    <row r="11" spans="1:8" x14ac:dyDescent="0.3">
      <c r="A11" s="1">
        <v>44575</v>
      </c>
      <c r="B11" t="s">
        <v>12</v>
      </c>
      <c r="C11" t="s">
        <v>13</v>
      </c>
      <c r="D11" t="s">
        <v>8</v>
      </c>
      <c r="E11" t="s">
        <v>16</v>
      </c>
      <c r="F11">
        <v>1.99</v>
      </c>
      <c r="G11">
        <v>74</v>
      </c>
      <c r="H11">
        <f>Table1[[#This Row],[Cost]]*Table1[[#This Row],[Units]]</f>
        <v>147.26</v>
      </c>
    </row>
    <row r="12" spans="1:8" x14ac:dyDescent="0.3">
      <c r="A12" s="1">
        <v>44576</v>
      </c>
      <c r="B12" t="s">
        <v>20</v>
      </c>
      <c r="C12" t="s">
        <v>7</v>
      </c>
      <c r="D12" t="s">
        <v>26</v>
      </c>
      <c r="E12" t="s">
        <v>11</v>
      </c>
      <c r="F12">
        <v>4.99</v>
      </c>
      <c r="G12">
        <v>60</v>
      </c>
      <c r="H12">
        <f>Table1[[#This Row],[Cost]]*Table1[[#This Row],[Units]]</f>
        <v>299.40000000000003</v>
      </c>
    </row>
    <row r="13" spans="1:8" x14ac:dyDescent="0.3">
      <c r="A13" s="1">
        <v>44577</v>
      </c>
      <c r="B13" t="s">
        <v>15</v>
      </c>
      <c r="C13" t="s">
        <v>10</v>
      </c>
      <c r="D13" t="s">
        <v>8</v>
      </c>
      <c r="E13" t="s">
        <v>17</v>
      </c>
      <c r="F13">
        <v>275</v>
      </c>
      <c r="G13">
        <v>2</v>
      </c>
      <c r="H13">
        <f>Table1[[#This Row],[Cost]]*Table1[[#This Row],[Units]]</f>
        <v>550</v>
      </c>
    </row>
    <row r="14" spans="1:8" x14ac:dyDescent="0.3">
      <c r="A14" s="1">
        <v>44578</v>
      </c>
      <c r="B14" t="s">
        <v>12</v>
      </c>
      <c r="C14" t="s">
        <v>13</v>
      </c>
      <c r="D14" t="s">
        <v>18</v>
      </c>
      <c r="E14" t="s">
        <v>9</v>
      </c>
      <c r="F14">
        <v>2.99</v>
      </c>
      <c r="G14">
        <v>90</v>
      </c>
      <c r="H14">
        <f>Table1[[#This Row],[Cost]]*Table1[[#This Row],[Units]]</f>
        <v>269.10000000000002</v>
      </c>
    </row>
    <row r="15" spans="1:8" x14ac:dyDescent="0.3">
      <c r="A15" s="1">
        <v>44579</v>
      </c>
      <c r="B15" t="s">
        <v>20</v>
      </c>
      <c r="C15" t="s">
        <v>7</v>
      </c>
      <c r="D15" t="s">
        <v>18</v>
      </c>
      <c r="E15" t="s">
        <v>11</v>
      </c>
      <c r="F15">
        <v>4.99</v>
      </c>
      <c r="G15">
        <v>29</v>
      </c>
      <c r="H15">
        <f>Table1[[#This Row],[Cost]]*Table1[[#This Row],[Units]]</f>
        <v>144.71</v>
      </c>
    </row>
    <row r="16" spans="1:8" x14ac:dyDescent="0.3">
      <c r="A16" s="1">
        <v>44582</v>
      </c>
      <c r="B16" t="s">
        <v>19</v>
      </c>
      <c r="C16" t="s">
        <v>7</v>
      </c>
      <c r="D16" t="s">
        <v>18</v>
      </c>
      <c r="E16" t="s">
        <v>17</v>
      </c>
      <c r="F16">
        <v>275</v>
      </c>
      <c r="G16">
        <v>1</v>
      </c>
      <c r="H16">
        <f>Table1[[#This Row],[Cost]]*Table1[[#This Row],[Units]]</f>
        <v>275</v>
      </c>
    </row>
    <row r="17" spans="1:8" x14ac:dyDescent="0.3">
      <c r="A17" s="1">
        <v>44583</v>
      </c>
      <c r="B17" t="s">
        <v>12</v>
      </c>
      <c r="C17" t="s">
        <v>13</v>
      </c>
      <c r="D17" t="s">
        <v>26</v>
      </c>
      <c r="E17" t="s">
        <v>9</v>
      </c>
      <c r="F17">
        <v>2.99</v>
      </c>
      <c r="G17">
        <v>20</v>
      </c>
      <c r="H17">
        <f>Table1[[#This Row],[Cost]]*Table1[[#This Row],[Units]]</f>
        <v>59.800000000000004</v>
      </c>
    </row>
    <row r="18" spans="1:8" x14ac:dyDescent="0.3">
      <c r="A18" s="1">
        <v>44584</v>
      </c>
      <c r="B18" t="s">
        <v>20</v>
      </c>
      <c r="C18" t="s">
        <v>7</v>
      </c>
      <c r="D18" t="s">
        <v>21</v>
      </c>
      <c r="E18" t="s">
        <v>9</v>
      </c>
      <c r="F18">
        <v>2.99</v>
      </c>
      <c r="G18">
        <v>35</v>
      </c>
      <c r="H18">
        <f>Table1[[#This Row],[Cost]]*Table1[[#This Row],[Units]]</f>
        <v>104.65</v>
      </c>
    </row>
    <row r="19" spans="1:8" x14ac:dyDescent="0.3">
      <c r="A19" s="1">
        <v>44585</v>
      </c>
      <c r="B19" t="s">
        <v>15</v>
      </c>
      <c r="C19" t="s">
        <v>10</v>
      </c>
      <c r="D19" t="s">
        <v>21</v>
      </c>
      <c r="E19" t="s">
        <v>11</v>
      </c>
      <c r="F19">
        <v>4.99</v>
      </c>
      <c r="G19">
        <v>81</v>
      </c>
      <c r="H19">
        <f>Table1[[#This Row],[Cost]]*Table1[[#This Row],[Units]]</f>
        <v>404.19</v>
      </c>
    </row>
    <row r="20" spans="1:8" x14ac:dyDescent="0.3">
      <c r="A20" s="1">
        <v>44586</v>
      </c>
      <c r="B20" t="s">
        <v>23</v>
      </c>
      <c r="C20" t="s">
        <v>13</v>
      </c>
      <c r="D20" t="s">
        <v>8</v>
      </c>
      <c r="E20" t="s">
        <v>17</v>
      </c>
      <c r="F20">
        <v>275</v>
      </c>
      <c r="G20">
        <v>2</v>
      </c>
      <c r="H20">
        <f>Table1[[#This Row],[Cost]]*Table1[[#This Row],[Units]]</f>
        <v>550</v>
      </c>
    </row>
    <row r="21" spans="1:8" x14ac:dyDescent="0.3">
      <c r="A21" s="1">
        <v>44589</v>
      </c>
      <c r="B21" t="s">
        <v>20</v>
      </c>
      <c r="C21" t="s">
        <v>7</v>
      </c>
      <c r="D21" t="s">
        <v>21</v>
      </c>
      <c r="E21" t="s">
        <v>17</v>
      </c>
      <c r="F21">
        <v>275</v>
      </c>
      <c r="G21">
        <v>3</v>
      </c>
      <c r="H21">
        <f>Table1[[#This Row],[Cost]]*Table1[[#This Row],[Units]]</f>
        <v>825</v>
      </c>
    </row>
    <row r="22" spans="1:8" x14ac:dyDescent="0.3">
      <c r="A22" s="1">
        <v>44590</v>
      </c>
      <c r="B22" t="s">
        <v>15</v>
      </c>
      <c r="C22" t="s">
        <v>10</v>
      </c>
      <c r="D22" t="s">
        <v>26</v>
      </c>
      <c r="E22" t="s">
        <v>16</v>
      </c>
      <c r="F22">
        <v>1.99</v>
      </c>
      <c r="G22">
        <v>56</v>
      </c>
      <c r="H22">
        <f>Table1[[#This Row],[Cost]]*Table1[[#This Row],[Units]]</f>
        <v>111.44</v>
      </c>
    </row>
    <row r="23" spans="1:8" x14ac:dyDescent="0.3">
      <c r="A23" s="1">
        <v>44591</v>
      </c>
      <c r="B23" t="s">
        <v>12</v>
      </c>
      <c r="C23" t="s">
        <v>13</v>
      </c>
      <c r="D23" t="s">
        <v>8</v>
      </c>
      <c r="E23" t="s">
        <v>11</v>
      </c>
      <c r="F23">
        <v>4.99</v>
      </c>
      <c r="G23">
        <v>28</v>
      </c>
      <c r="H23">
        <f>Table1[[#This Row],[Cost]]*Table1[[#This Row],[Units]]</f>
        <v>139.72</v>
      </c>
    </row>
    <row r="24" spans="1:8" x14ac:dyDescent="0.3">
      <c r="A24" s="1">
        <v>44592</v>
      </c>
      <c r="B24" t="s">
        <v>20</v>
      </c>
      <c r="C24" t="s">
        <v>7</v>
      </c>
      <c r="D24" t="s">
        <v>21</v>
      </c>
      <c r="E24" t="s">
        <v>9</v>
      </c>
      <c r="F24">
        <v>2.99</v>
      </c>
      <c r="G24">
        <v>12</v>
      </c>
      <c r="H24">
        <f>Table1[[#This Row],[Cost]]*Table1[[#This Row],[Units]]</f>
        <v>35.880000000000003</v>
      </c>
    </row>
    <row r="25" spans="1:8" x14ac:dyDescent="0.3">
      <c r="A25" s="1">
        <v>44593</v>
      </c>
      <c r="B25" t="s">
        <v>20</v>
      </c>
      <c r="C25" t="s">
        <v>7</v>
      </c>
      <c r="D25" t="s">
        <v>8</v>
      </c>
      <c r="E25" t="s">
        <v>22</v>
      </c>
      <c r="F25">
        <v>4.99</v>
      </c>
      <c r="G25">
        <v>16</v>
      </c>
      <c r="H25">
        <f>Table1[[#This Row],[Cost]]*Table1[[#This Row],[Units]]</f>
        <v>79.84</v>
      </c>
    </row>
    <row r="26" spans="1:8" x14ac:dyDescent="0.3">
      <c r="A26" s="1">
        <v>44596</v>
      </c>
      <c r="B26" t="s">
        <v>20</v>
      </c>
      <c r="C26" t="s">
        <v>7</v>
      </c>
      <c r="D26" t="s">
        <v>8</v>
      </c>
      <c r="E26" t="s">
        <v>22</v>
      </c>
      <c r="F26">
        <v>4.99</v>
      </c>
      <c r="G26">
        <v>48</v>
      </c>
      <c r="H26">
        <f>Table1[[#This Row],[Cost]]*Table1[[#This Row],[Units]]</f>
        <v>239.52</v>
      </c>
    </row>
    <row r="27" spans="1:8" x14ac:dyDescent="0.3">
      <c r="A27" s="1">
        <v>44597</v>
      </c>
      <c r="B27" t="s">
        <v>20</v>
      </c>
      <c r="C27" t="s">
        <v>7</v>
      </c>
      <c r="D27" t="s">
        <v>18</v>
      </c>
      <c r="E27" t="s">
        <v>16</v>
      </c>
      <c r="F27">
        <v>1.99</v>
      </c>
      <c r="G27">
        <v>64</v>
      </c>
      <c r="H27">
        <f>Table1[[#This Row],[Cost]]*Table1[[#This Row],[Units]]</f>
        <v>127.36</v>
      </c>
    </row>
    <row r="28" spans="1:8" x14ac:dyDescent="0.3">
      <c r="A28" s="1">
        <v>44598</v>
      </c>
      <c r="B28" t="s">
        <v>19</v>
      </c>
      <c r="C28" t="s">
        <v>7</v>
      </c>
      <c r="D28" t="s">
        <v>18</v>
      </c>
      <c r="E28" t="s">
        <v>16</v>
      </c>
      <c r="F28">
        <v>1.99</v>
      </c>
      <c r="G28">
        <v>15</v>
      </c>
      <c r="H28">
        <f>Table1[[#This Row],[Cost]]*Table1[[#This Row],[Units]]</f>
        <v>29.85</v>
      </c>
    </row>
    <row r="29" spans="1:8" x14ac:dyDescent="0.3">
      <c r="A29" s="1">
        <v>44599</v>
      </c>
      <c r="B29" t="s">
        <v>19</v>
      </c>
      <c r="C29" t="s">
        <v>7</v>
      </c>
      <c r="D29" t="s">
        <v>18</v>
      </c>
      <c r="E29" t="s">
        <v>11</v>
      </c>
      <c r="F29">
        <v>4.99</v>
      </c>
      <c r="G29">
        <v>71</v>
      </c>
      <c r="H29">
        <f>Table1[[#This Row],[Cost]]*Table1[[#This Row],[Units]]</f>
        <v>354.29</v>
      </c>
    </row>
    <row r="30" spans="1:8" x14ac:dyDescent="0.3">
      <c r="A30" s="1">
        <v>44600</v>
      </c>
      <c r="B30" t="s">
        <v>15</v>
      </c>
      <c r="C30" t="s">
        <v>10</v>
      </c>
      <c r="D30" t="s">
        <v>8</v>
      </c>
      <c r="E30" t="s">
        <v>22</v>
      </c>
      <c r="F30">
        <v>4.99</v>
      </c>
      <c r="G30">
        <v>96</v>
      </c>
      <c r="H30">
        <f>Table1[[#This Row],[Cost]]*Table1[[#This Row],[Units]]</f>
        <v>479.04</v>
      </c>
    </row>
    <row r="31" spans="1:8" x14ac:dyDescent="0.3">
      <c r="A31" s="1">
        <v>44603</v>
      </c>
      <c r="B31" t="s">
        <v>14</v>
      </c>
      <c r="C31" t="s">
        <v>10</v>
      </c>
      <c r="D31" t="s">
        <v>8</v>
      </c>
      <c r="E31" t="s">
        <v>17</v>
      </c>
      <c r="F31">
        <v>275</v>
      </c>
      <c r="G31">
        <v>2</v>
      </c>
      <c r="H31">
        <f>Table1[[#This Row],[Cost]]*Table1[[#This Row],[Units]]</f>
        <v>550</v>
      </c>
    </row>
    <row r="32" spans="1:8" x14ac:dyDescent="0.3">
      <c r="A32" s="1">
        <v>44604</v>
      </c>
      <c r="B32" t="s">
        <v>23</v>
      </c>
      <c r="C32" t="s">
        <v>13</v>
      </c>
      <c r="D32" t="s">
        <v>26</v>
      </c>
      <c r="E32" t="s">
        <v>9</v>
      </c>
      <c r="F32">
        <v>2.99</v>
      </c>
      <c r="G32">
        <v>67</v>
      </c>
      <c r="H32">
        <f>Table1[[#This Row],[Cost]]*Table1[[#This Row],[Units]]</f>
        <v>200.33</v>
      </c>
    </row>
    <row r="33" spans="1:8" x14ac:dyDescent="0.3">
      <c r="A33" s="1">
        <v>44605</v>
      </c>
      <c r="B33" t="s">
        <v>19</v>
      </c>
      <c r="C33" t="s">
        <v>7</v>
      </c>
      <c r="D33" t="s">
        <v>8</v>
      </c>
      <c r="E33" t="s">
        <v>22</v>
      </c>
      <c r="F33">
        <v>4.99</v>
      </c>
      <c r="G33">
        <v>74</v>
      </c>
      <c r="H33">
        <f>Table1[[#This Row],[Cost]]*Table1[[#This Row],[Units]]</f>
        <v>369.26</v>
      </c>
    </row>
    <row r="34" spans="1:8" x14ac:dyDescent="0.3">
      <c r="A34" s="1">
        <v>44606</v>
      </c>
      <c r="B34" t="s">
        <v>15</v>
      </c>
      <c r="C34" t="s">
        <v>10</v>
      </c>
      <c r="D34" t="s">
        <v>8</v>
      </c>
      <c r="E34" t="s">
        <v>17</v>
      </c>
      <c r="F34">
        <v>275</v>
      </c>
      <c r="G34">
        <v>5</v>
      </c>
      <c r="H34">
        <f>Table1[[#This Row],[Cost]]*Table1[[#This Row],[Units]]</f>
        <v>1375</v>
      </c>
    </row>
    <row r="35" spans="1:8" x14ac:dyDescent="0.3">
      <c r="A35" s="1">
        <v>44607</v>
      </c>
      <c r="B35" t="s">
        <v>23</v>
      </c>
      <c r="C35" t="s">
        <v>13</v>
      </c>
      <c r="D35" t="s">
        <v>21</v>
      </c>
      <c r="E35" t="s">
        <v>11</v>
      </c>
      <c r="F35">
        <v>4.99</v>
      </c>
      <c r="G35">
        <v>46</v>
      </c>
      <c r="H35">
        <f>Table1[[#This Row],[Cost]]*Table1[[#This Row],[Units]]</f>
        <v>229.54000000000002</v>
      </c>
    </row>
    <row r="36" spans="1:8" x14ac:dyDescent="0.3">
      <c r="A36" s="1">
        <v>44610</v>
      </c>
      <c r="B36" t="s">
        <v>12</v>
      </c>
      <c r="C36" t="s">
        <v>13</v>
      </c>
      <c r="D36" t="s">
        <v>18</v>
      </c>
      <c r="E36" t="s">
        <v>22</v>
      </c>
      <c r="F36">
        <v>4.99</v>
      </c>
      <c r="G36">
        <v>99</v>
      </c>
      <c r="H36">
        <f>Table1[[#This Row],[Cost]]*Table1[[#This Row],[Units]]</f>
        <v>494.01000000000005</v>
      </c>
    </row>
    <row r="37" spans="1:8" x14ac:dyDescent="0.3">
      <c r="A37" s="1">
        <v>44611</v>
      </c>
      <c r="B37" t="s">
        <v>19</v>
      </c>
      <c r="C37" t="s">
        <v>7</v>
      </c>
      <c r="D37" t="s">
        <v>8</v>
      </c>
      <c r="E37" t="s">
        <v>16</v>
      </c>
      <c r="F37">
        <v>1.99</v>
      </c>
      <c r="G37">
        <v>41</v>
      </c>
      <c r="H37">
        <f>Table1[[#This Row],[Cost]]*Table1[[#This Row],[Units]]</f>
        <v>81.59</v>
      </c>
    </row>
    <row r="38" spans="1:8" x14ac:dyDescent="0.3">
      <c r="A38" s="1">
        <v>44612</v>
      </c>
      <c r="B38" t="s">
        <v>23</v>
      </c>
      <c r="C38" t="s">
        <v>13</v>
      </c>
      <c r="D38" t="s">
        <v>26</v>
      </c>
      <c r="E38" t="s">
        <v>17</v>
      </c>
      <c r="F38">
        <v>275</v>
      </c>
      <c r="G38">
        <v>1</v>
      </c>
      <c r="H38">
        <f>Table1[[#This Row],[Cost]]*Table1[[#This Row],[Units]]</f>
        <v>275</v>
      </c>
    </row>
    <row r="39" spans="1:8" x14ac:dyDescent="0.3">
      <c r="A39" s="1">
        <v>44613</v>
      </c>
      <c r="B39" t="s">
        <v>23</v>
      </c>
      <c r="C39" t="s">
        <v>13</v>
      </c>
      <c r="D39" t="s">
        <v>8</v>
      </c>
      <c r="E39" t="s">
        <v>11</v>
      </c>
      <c r="F39">
        <v>4.99</v>
      </c>
      <c r="G39">
        <v>87</v>
      </c>
      <c r="H39">
        <f>Table1[[#This Row],[Cost]]*Table1[[#This Row],[Units]]</f>
        <v>434.13</v>
      </c>
    </row>
    <row r="40" spans="1:8" x14ac:dyDescent="0.3">
      <c r="A40" s="1">
        <v>44614</v>
      </c>
      <c r="B40" t="s">
        <v>15</v>
      </c>
      <c r="C40" t="s">
        <v>10</v>
      </c>
      <c r="D40" t="s">
        <v>18</v>
      </c>
      <c r="E40" t="s">
        <v>22</v>
      </c>
      <c r="F40">
        <v>4.99</v>
      </c>
      <c r="G40">
        <v>62</v>
      </c>
      <c r="H40">
        <f>Table1[[#This Row],[Cost]]*Table1[[#This Row],[Units]]</f>
        <v>309.38</v>
      </c>
    </row>
    <row r="41" spans="1:8" x14ac:dyDescent="0.3">
      <c r="A41" s="1">
        <v>44617</v>
      </c>
      <c r="B41" t="s">
        <v>20</v>
      </c>
      <c r="C41" t="s">
        <v>7</v>
      </c>
      <c r="D41" t="s">
        <v>8</v>
      </c>
      <c r="E41" t="s">
        <v>11</v>
      </c>
      <c r="F41">
        <v>4.99</v>
      </c>
      <c r="G41">
        <v>4</v>
      </c>
      <c r="H41">
        <f>Table1[[#This Row],[Cost]]*Table1[[#This Row],[Units]]</f>
        <v>19.96</v>
      </c>
    </row>
    <row r="42" spans="1:8" x14ac:dyDescent="0.3">
      <c r="A42" s="1">
        <v>44618</v>
      </c>
      <c r="B42" t="s">
        <v>14</v>
      </c>
      <c r="C42" t="s">
        <v>10</v>
      </c>
      <c r="D42" t="s">
        <v>8</v>
      </c>
      <c r="E42" t="s">
        <v>11</v>
      </c>
      <c r="F42">
        <v>4.99</v>
      </c>
      <c r="G42">
        <v>7</v>
      </c>
      <c r="H42">
        <f>Table1[[#This Row],[Cost]]*Table1[[#This Row],[Units]]</f>
        <v>34.93</v>
      </c>
    </row>
    <row r="43" spans="1:8" x14ac:dyDescent="0.3">
      <c r="A43" s="1">
        <v>44619</v>
      </c>
      <c r="B43" t="s">
        <v>14</v>
      </c>
      <c r="C43" t="s">
        <v>10</v>
      </c>
      <c r="D43" t="s">
        <v>26</v>
      </c>
      <c r="E43" t="s">
        <v>11</v>
      </c>
      <c r="F43">
        <v>4.99</v>
      </c>
      <c r="G43">
        <v>86</v>
      </c>
      <c r="H43">
        <f>Table1[[#This Row],[Cost]]*Table1[[#This Row],[Units]]</f>
        <v>429.14000000000004</v>
      </c>
    </row>
    <row r="44" spans="1:8" x14ac:dyDescent="0.3">
      <c r="A44" s="1">
        <v>44620</v>
      </c>
      <c r="B44" t="s">
        <v>12</v>
      </c>
      <c r="C44" t="s">
        <v>13</v>
      </c>
      <c r="D44" t="s">
        <v>8</v>
      </c>
      <c r="E44" t="s">
        <v>22</v>
      </c>
      <c r="F44">
        <v>4.99</v>
      </c>
      <c r="G44">
        <v>50</v>
      </c>
      <c r="H44">
        <f>Table1[[#This Row],[Cost]]*Table1[[#This Row],[Units]]</f>
        <v>249.5</v>
      </c>
    </row>
    <row r="45" spans="1:8" x14ac:dyDescent="0.3">
      <c r="A45" s="1">
        <v>44621</v>
      </c>
      <c r="B45" t="s">
        <v>20</v>
      </c>
      <c r="C45" t="s">
        <v>7</v>
      </c>
      <c r="D45" t="s">
        <v>21</v>
      </c>
      <c r="E45" t="s">
        <v>22</v>
      </c>
      <c r="F45">
        <v>4.99</v>
      </c>
      <c r="G45">
        <v>75</v>
      </c>
      <c r="H45">
        <f>Table1[[#This Row],[Cost]]*Table1[[#This Row],[Units]]</f>
        <v>374.25</v>
      </c>
    </row>
    <row r="46" spans="1:8" x14ac:dyDescent="0.3">
      <c r="A46" s="1">
        <v>44624</v>
      </c>
      <c r="B46" t="s">
        <v>15</v>
      </c>
      <c r="C46" t="s">
        <v>10</v>
      </c>
      <c r="D46" t="s">
        <v>18</v>
      </c>
      <c r="E46" t="s">
        <v>9</v>
      </c>
      <c r="F46">
        <v>2.99</v>
      </c>
      <c r="G46">
        <v>66</v>
      </c>
      <c r="H46">
        <f>Table1[[#This Row],[Cost]]*Table1[[#This Row],[Units]]</f>
        <v>197.34</v>
      </c>
    </row>
    <row r="47" spans="1:8" x14ac:dyDescent="0.3">
      <c r="A47" s="1">
        <v>44625</v>
      </c>
      <c r="B47" t="s">
        <v>23</v>
      </c>
      <c r="C47" t="s">
        <v>13</v>
      </c>
      <c r="D47" t="s">
        <v>18</v>
      </c>
      <c r="E47" t="s">
        <v>9</v>
      </c>
      <c r="F47">
        <v>2.99</v>
      </c>
      <c r="G47">
        <v>53</v>
      </c>
      <c r="H47">
        <f>Table1[[#This Row],[Cost]]*Table1[[#This Row],[Units]]</f>
        <v>158.47</v>
      </c>
    </row>
    <row r="48" spans="1:8" x14ac:dyDescent="0.3">
      <c r="A48" s="1">
        <v>44626</v>
      </c>
      <c r="B48" t="s">
        <v>23</v>
      </c>
      <c r="C48" t="s">
        <v>13</v>
      </c>
      <c r="D48" t="s">
        <v>8</v>
      </c>
      <c r="E48" t="s">
        <v>11</v>
      </c>
      <c r="F48">
        <v>4.99</v>
      </c>
      <c r="G48">
        <v>80</v>
      </c>
      <c r="H48">
        <f>Table1[[#This Row],[Cost]]*Table1[[#This Row],[Units]]</f>
        <v>399.20000000000005</v>
      </c>
    </row>
    <row r="49" spans="1:8" x14ac:dyDescent="0.3">
      <c r="A49" s="1">
        <v>44627</v>
      </c>
      <c r="B49" t="s">
        <v>20</v>
      </c>
      <c r="C49" t="s">
        <v>7</v>
      </c>
      <c r="D49" t="s">
        <v>8</v>
      </c>
      <c r="E49" t="s">
        <v>16</v>
      </c>
      <c r="F49">
        <v>1.99</v>
      </c>
      <c r="G49">
        <v>96</v>
      </c>
      <c r="H49">
        <f>Table1[[#This Row],[Cost]]*Table1[[#This Row],[Units]]</f>
        <v>191.04</v>
      </c>
    </row>
    <row r="50" spans="1:8" x14ac:dyDescent="0.3">
      <c r="A50" s="1">
        <v>44628</v>
      </c>
      <c r="B50" t="s">
        <v>19</v>
      </c>
      <c r="C50" t="s">
        <v>7</v>
      </c>
      <c r="D50" t="s">
        <v>21</v>
      </c>
      <c r="E50" t="s">
        <v>22</v>
      </c>
      <c r="F50">
        <v>4.99</v>
      </c>
      <c r="G50">
        <v>62</v>
      </c>
      <c r="H50">
        <f>Table1[[#This Row],[Cost]]*Table1[[#This Row],[Units]]</f>
        <v>309.38</v>
      </c>
    </row>
    <row r="51" spans="1:8" x14ac:dyDescent="0.3">
      <c r="A51" s="1">
        <v>44631</v>
      </c>
      <c r="B51" t="s">
        <v>15</v>
      </c>
      <c r="C51" t="s">
        <v>10</v>
      </c>
      <c r="D51" t="s">
        <v>18</v>
      </c>
      <c r="E51" t="s">
        <v>22</v>
      </c>
      <c r="F51">
        <v>4.99</v>
      </c>
      <c r="G51">
        <v>68</v>
      </c>
      <c r="H51">
        <f>Table1[[#This Row],[Cost]]*Table1[[#This Row],[Units]]</f>
        <v>339.32</v>
      </c>
    </row>
    <row r="52" spans="1:8" x14ac:dyDescent="0.3">
      <c r="A52" s="1">
        <v>44632</v>
      </c>
      <c r="B52" t="s">
        <v>14</v>
      </c>
      <c r="C52" t="s">
        <v>10</v>
      </c>
      <c r="D52" t="s">
        <v>21</v>
      </c>
      <c r="E52" t="s">
        <v>17</v>
      </c>
      <c r="F52">
        <v>275</v>
      </c>
      <c r="G52">
        <v>2</v>
      </c>
      <c r="H52">
        <f>Table1[[#This Row],[Cost]]*Table1[[#This Row],[Units]]</f>
        <v>550</v>
      </c>
    </row>
    <row r="53" spans="1:8" x14ac:dyDescent="0.3">
      <c r="A53" s="1">
        <v>44633</v>
      </c>
      <c r="B53" t="s">
        <v>12</v>
      </c>
      <c r="C53" t="s">
        <v>13</v>
      </c>
      <c r="D53" t="s">
        <v>18</v>
      </c>
      <c r="E53" t="s">
        <v>22</v>
      </c>
      <c r="F53">
        <v>4.99</v>
      </c>
      <c r="G53">
        <v>55</v>
      </c>
      <c r="H53">
        <f>Table1[[#This Row],[Cost]]*Table1[[#This Row],[Units]]</f>
        <v>274.45</v>
      </c>
    </row>
    <row r="54" spans="1:8" x14ac:dyDescent="0.3">
      <c r="A54" s="1">
        <v>44634</v>
      </c>
      <c r="B54" t="s">
        <v>19</v>
      </c>
      <c r="C54" t="s">
        <v>7</v>
      </c>
      <c r="D54" t="s">
        <v>8</v>
      </c>
      <c r="E54" t="s">
        <v>9</v>
      </c>
      <c r="F54">
        <v>2.99</v>
      </c>
      <c r="G54">
        <v>16</v>
      </c>
      <c r="H54">
        <f>Table1[[#This Row],[Cost]]*Table1[[#This Row],[Units]]</f>
        <v>47.84</v>
      </c>
    </row>
    <row r="55" spans="1:8" x14ac:dyDescent="0.3">
      <c r="A55" s="1">
        <v>44635</v>
      </c>
      <c r="B55" t="s">
        <v>19</v>
      </c>
      <c r="C55" t="s">
        <v>7</v>
      </c>
      <c r="D55" t="s">
        <v>18</v>
      </c>
      <c r="E55" t="s">
        <v>9</v>
      </c>
      <c r="F55">
        <v>2.99</v>
      </c>
      <c r="G55">
        <v>68</v>
      </c>
      <c r="H55">
        <f>Table1[[#This Row],[Cost]]*Table1[[#This Row],[Units]]</f>
        <v>203.32000000000002</v>
      </c>
    </row>
    <row r="56" spans="1:8" x14ac:dyDescent="0.3">
      <c r="A56" s="1">
        <v>44638</v>
      </c>
      <c r="B56" t="s">
        <v>19</v>
      </c>
      <c r="C56" t="s">
        <v>7</v>
      </c>
      <c r="D56" t="s">
        <v>21</v>
      </c>
      <c r="E56" t="s">
        <v>17</v>
      </c>
      <c r="F56">
        <v>275</v>
      </c>
      <c r="G56">
        <v>5</v>
      </c>
      <c r="H56">
        <f>Table1[[#This Row],[Cost]]*Table1[[#This Row],[Units]]</f>
        <v>1375</v>
      </c>
    </row>
    <row r="57" spans="1:8" x14ac:dyDescent="0.3">
      <c r="A57" s="1">
        <v>44639</v>
      </c>
      <c r="B57" t="s">
        <v>14</v>
      </c>
      <c r="C57" t="s">
        <v>10</v>
      </c>
      <c r="D57" t="s">
        <v>8</v>
      </c>
      <c r="E57" t="s">
        <v>17</v>
      </c>
      <c r="F57">
        <v>275</v>
      </c>
      <c r="G57">
        <v>2</v>
      </c>
      <c r="H57">
        <f>Table1[[#This Row],[Cost]]*Table1[[#This Row],[Units]]</f>
        <v>550</v>
      </c>
    </row>
    <row r="58" spans="1:8" x14ac:dyDescent="0.3">
      <c r="A58" s="1">
        <v>44640</v>
      </c>
      <c r="B58" t="s">
        <v>14</v>
      </c>
      <c r="C58" t="s">
        <v>10</v>
      </c>
      <c r="D58" t="s">
        <v>8</v>
      </c>
      <c r="E58" t="s">
        <v>22</v>
      </c>
      <c r="F58">
        <v>4.99</v>
      </c>
      <c r="G58">
        <v>42</v>
      </c>
      <c r="H58">
        <f>Table1[[#This Row],[Cost]]*Table1[[#This Row],[Units]]</f>
        <v>209.58</v>
      </c>
    </row>
    <row r="59" spans="1:8" x14ac:dyDescent="0.3">
      <c r="A59" s="1">
        <v>44641</v>
      </c>
      <c r="B59" t="s">
        <v>23</v>
      </c>
      <c r="C59" t="s">
        <v>13</v>
      </c>
      <c r="D59" t="s">
        <v>8</v>
      </c>
      <c r="E59" t="s">
        <v>9</v>
      </c>
      <c r="F59">
        <v>2.99</v>
      </c>
      <c r="G59">
        <v>7</v>
      </c>
      <c r="H59">
        <f>Table1[[#This Row],[Cost]]*Table1[[#This Row],[Units]]</f>
        <v>20.93</v>
      </c>
    </row>
    <row r="60" spans="1:8" x14ac:dyDescent="0.3">
      <c r="A60" s="1">
        <v>44642</v>
      </c>
      <c r="B60" t="s">
        <v>19</v>
      </c>
      <c r="C60" t="s">
        <v>7</v>
      </c>
      <c r="D60" t="s">
        <v>21</v>
      </c>
      <c r="E60" t="s">
        <v>11</v>
      </c>
      <c r="F60">
        <v>4.99</v>
      </c>
      <c r="G60">
        <v>70</v>
      </c>
      <c r="H60">
        <f>Table1[[#This Row],[Cost]]*Table1[[#This Row],[Units]]</f>
        <v>349.3</v>
      </c>
    </row>
    <row r="61" spans="1:8" x14ac:dyDescent="0.3">
      <c r="A61" s="1">
        <v>44645</v>
      </c>
      <c r="B61" t="s">
        <v>15</v>
      </c>
      <c r="C61" t="s">
        <v>10</v>
      </c>
      <c r="D61" t="s">
        <v>18</v>
      </c>
      <c r="E61" t="s">
        <v>17</v>
      </c>
      <c r="F61">
        <v>275</v>
      </c>
      <c r="G61">
        <v>4</v>
      </c>
      <c r="H61">
        <f>Table1[[#This Row],[Cost]]*Table1[[#This Row],[Units]]</f>
        <v>1100</v>
      </c>
    </row>
    <row r="62" spans="1:8" x14ac:dyDescent="0.3">
      <c r="A62" s="1">
        <v>44646</v>
      </c>
      <c r="B62" t="s">
        <v>12</v>
      </c>
      <c r="C62" t="s">
        <v>13</v>
      </c>
      <c r="D62" t="s">
        <v>21</v>
      </c>
      <c r="E62" t="s">
        <v>9</v>
      </c>
      <c r="F62">
        <v>2.99</v>
      </c>
      <c r="G62">
        <v>42</v>
      </c>
      <c r="H62">
        <f>Table1[[#This Row],[Cost]]*Table1[[#This Row],[Units]]</f>
        <v>125.58000000000001</v>
      </c>
    </row>
    <row r="63" spans="1:8" x14ac:dyDescent="0.3">
      <c r="A63" s="1">
        <v>44647</v>
      </c>
      <c r="B63" t="s">
        <v>14</v>
      </c>
      <c r="C63" t="s">
        <v>10</v>
      </c>
      <c r="D63" t="s">
        <v>8</v>
      </c>
      <c r="E63" t="s">
        <v>22</v>
      </c>
      <c r="F63">
        <v>4.99</v>
      </c>
      <c r="G63">
        <v>29</v>
      </c>
      <c r="H63">
        <f>Table1[[#This Row],[Cost]]*Table1[[#This Row],[Units]]</f>
        <v>144.71</v>
      </c>
    </row>
    <row r="64" spans="1:8" x14ac:dyDescent="0.3">
      <c r="A64" s="1">
        <v>44648</v>
      </c>
      <c r="B64" t="s">
        <v>14</v>
      </c>
      <c r="C64" t="s">
        <v>10</v>
      </c>
      <c r="D64" t="s">
        <v>8</v>
      </c>
      <c r="E64" t="s">
        <v>16</v>
      </c>
      <c r="F64">
        <v>1.99</v>
      </c>
      <c r="G64">
        <v>76</v>
      </c>
      <c r="H64">
        <f>Table1[[#This Row],[Cost]]*Table1[[#This Row],[Units]]</f>
        <v>151.24</v>
      </c>
    </row>
    <row r="65" spans="1:8" x14ac:dyDescent="0.3">
      <c r="A65" s="1">
        <v>44649</v>
      </c>
      <c r="B65" t="s">
        <v>12</v>
      </c>
      <c r="C65" t="s">
        <v>13</v>
      </c>
      <c r="D65" t="s">
        <v>8</v>
      </c>
      <c r="E65" t="s">
        <v>16</v>
      </c>
      <c r="F65">
        <v>1.99</v>
      </c>
      <c r="G65">
        <v>77</v>
      </c>
      <c r="H65">
        <f>Table1[[#This Row],[Cost]]*Table1[[#This Row],[Units]]</f>
        <v>153.22999999999999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C5"/>
  <sheetViews>
    <sheetView workbookViewId="0">
      <selection activeCell="C2" sqref="C2"/>
    </sheetView>
  </sheetViews>
  <sheetFormatPr defaultRowHeight="14.4" x14ac:dyDescent="0.3"/>
  <cols>
    <col min="2" max="2" width="10.6640625" bestFit="1" customWidth="1"/>
  </cols>
  <sheetData>
    <row r="1" spans="2:3" x14ac:dyDescent="0.3">
      <c r="B1" t="s">
        <v>28</v>
      </c>
      <c r="C1" t="s">
        <v>29</v>
      </c>
    </row>
    <row r="2" spans="2:3" x14ac:dyDescent="0.3">
      <c r="B2" s="3" t="s">
        <v>21</v>
      </c>
      <c r="C2">
        <v>0</v>
      </c>
    </row>
    <row r="3" spans="2:3" x14ac:dyDescent="0.3">
      <c r="B3" s="3" t="s">
        <v>26</v>
      </c>
      <c r="C3">
        <v>0</v>
      </c>
    </row>
    <row r="4" spans="2:3" x14ac:dyDescent="0.3">
      <c r="B4" s="3" t="s">
        <v>18</v>
      </c>
      <c r="C4">
        <v>0</v>
      </c>
    </row>
    <row r="5" spans="2:3" x14ac:dyDescent="0.3">
      <c r="B5" s="3" t="s">
        <v>8</v>
      </c>
      <c r="C5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5E4B-E001-4725-BDC1-FA57968EE62F}">
  <dimension ref="A1:E13"/>
  <sheetViews>
    <sheetView workbookViewId="0">
      <selection activeCell="J14" sqref="J14"/>
    </sheetView>
  </sheetViews>
  <sheetFormatPr defaultRowHeight="14.4" x14ac:dyDescent="0.3"/>
  <sheetData>
    <row r="1" spans="1:5" x14ac:dyDescent="0.3">
      <c r="A1" s="10" t="s">
        <v>46</v>
      </c>
      <c r="B1" s="11" t="s">
        <v>2</v>
      </c>
      <c r="C1" s="11" t="s">
        <v>25</v>
      </c>
      <c r="D1" s="11" t="s">
        <v>47</v>
      </c>
      <c r="E1" s="10" t="s">
        <v>48</v>
      </c>
    </row>
    <row r="2" spans="1:5" x14ac:dyDescent="0.3">
      <c r="A2" s="9">
        <v>1</v>
      </c>
      <c r="B2" s="12" t="s">
        <v>13</v>
      </c>
      <c r="C2" s="12" t="s">
        <v>49</v>
      </c>
      <c r="D2" s="12" t="s">
        <v>50</v>
      </c>
      <c r="E2" s="9">
        <v>210</v>
      </c>
    </row>
    <row r="3" spans="1:5" x14ac:dyDescent="0.3">
      <c r="A3" s="9">
        <v>2</v>
      </c>
      <c r="B3" s="12" t="s">
        <v>13</v>
      </c>
      <c r="C3" s="12" t="s">
        <v>51</v>
      </c>
      <c r="D3" s="12" t="s">
        <v>50</v>
      </c>
      <c r="E3" s="9">
        <v>200</v>
      </c>
    </row>
    <row r="4" spans="1:5" x14ac:dyDescent="0.3">
      <c r="A4" s="9">
        <v>3</v>
      </c>
      <c r="B4" s="12" t="s">
        <v>7</v>
      </c>
      <c r="C4" s="12" t="s">
        <v>49</v>
      </c>
      <c r="D4" s="12" t="s">
        <v>50</v>
      </c>
      <c r="E4" s="9">
        <v>120</v>
      </c>
    </row>
    <row r="5" spans="1:5" x14ac:dyDescent="0.3">
      <c r="A5" s="9">
        <v>4</v>
      </c>
      <c r="B5" s="12" t="s">
        <v>7</v>
      </c>
      <c r="C5" s="12" t="s">
        <v>51</v>
      </c>
      <c r="D5" s="12" t="s">
        <v>50</v>
      </c>
      <c r="E5" s="9">
        <v>140</v>
      </c>
    </row>
    <row r="6" spans="1:5" x14ac:dyDescent="0.3">
      <c r="A6" s="9">
        <v>5</v>
      </c>
      <c r="B6" s="12" t="s">
        <v>10</v>
      </c>
      <c r="C6" s="12" t="s">
        <v>49</v>
      </c>
      <c r="D6" s="12" t="s">
        <v>50</v>
      </c>
      <c r="E6" s="9">
        <v>170</v>
      </c>
    </row>
    <row r="7" spans="1:5" x14ac:dyDescent="0.3">
      <c r="A7" s="9">
        <v>6</v>
      </c>
      <c r="B7" s="12" t="s">
        <v>10</v>
      </c>
      <c r="C7" s="12" t="s">
        <v>51</v>
      </c>
      <c r="D7" s="12" t="s">
        <v>50</v>
      </c>
      <c r="E7" s="9">
        <v>170</v>
      </c>
    </row>
    <row r="8" spans="1:5" x14ac:dyDescent="0.3">
      <c r="A8" s="9">
        <v>7</v>
      </c>
      <c r="B8" s="12" t="s">
        <v>13</v>
      </c>
      <c r="C8" s="12" t="s">
        <v>49</v>
      </c>
      <c r="D8" s="12" t="s">
        <v>52</v>
      </c>
      <c r="E8" s="9">
        <v>50</v>
      </c>
    </row>
    <row r="9" spans="1:5" x14ac:dyDescent="0.3">
      <c r="A9" s="9">
        <v>8</v>
      </c>
      <c r="B9" s="12" t="s">
        <v>13</v>
      </c>
      <c r="C9" s="12" t="s">
        <v>51</v>
      </c>
      <c r="D9" s="12" t="s">
        <v>52</v>
      </c>
      <c r="E9" s="9">
        <v>40</v>
      </c>
    </row>
    <row r="10" spans="1:5" x14ac:dyDescent="0.3">
      <c r="A10" s="9">
        <v>9</v>
      </c>
      <c r="B10" s="12" t="s">
        <v>7</v>
      </c>
      <c r="C10" s="12" t="s">
        <v>49</v>
      </c>
      <c r="D10" s="12" t="s">
        <v>52</v>
      </c>
      <c r="E10" s="9">
        <v>30</v>
      </c>
    </row>
    <row r="11" spans="1:5" x14ac:dyDescent="0.3">
      <c r="A11" s="9">
        <v>10</v>
      </c>
      <c r="B11" s="12" t="s">
        <v>7</v>
      </c>
      <c r="C11" s="12" t="s">
        <v>51</v>
      </c>
      <c r="D11" s="12" t="s">
        <v>52</v>
      </c>
      <c r="E11" s="9">
        <v>20</v>
      </c>
    </row>
    <row r="12" spans="1:5" x14ac:dyDescent="0.3">
      <c r="A12" s="9">
        <v>11</v>
      </c>
      <c r="B12" s="12" t="s">
        <v>10</v>
      </c>
      <c r="C12" s="12" t="s">
        <v>49</v>
      </c>
      <c r="D12" s="12" t="s">
        <v>52</v>
      </c>
      <c r="E12" s="9">
        <v>60</v>
      </c>
    </row>
    <row r="13" spans="1:5" x14ac:dyDescent="0.3">
      <c r="A13" s="9">
        <v>12</v>
      </c>
      <c r="B13" s="12" t="s">
        <v>10</v>
      </c>
      <c r="C13" s="12" t="s">
        <v>51</v>
      </c>
      <c r="D13" s="12" t="s">
        <v>52</v>
      </c>
      <c r="E13" s="9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5168-1174-4EA6-9332-D69E888A51FE}">
  <dimension ref="A1:E7"/>
  <sheetViews>
    <sheetView workbookViewId="0">
      <selection activeCell="A3" sqref="A3:E7"/>
    </sheetView>
  </sheetViews>
  <sheetFormatPr defaultRowHeight="14.4" x14ac:dyDescent="0.3"/>
  <cols>
    <col min="1" max="2" width="9" bestFit="1" customWidth="1"/>
    <col min="3" max="3" width="9.88671875" bestFit="1" customWidth="1"/>
    <col min="4" max="4" width="10.109375" bestFit="1" customWidth="1"/>
    <col min="5" max="5" width="9" bestFit="1" customWidth="1"/>
  </cols>
  <sheetData>
    <row r="1" spans="1:5" x14ac:dyDescent="0.3">
      <c r="A1" s="13" t="s">
        <v>65</v>
      </c>
    </row>
    <row r="3" spans="1:5" x14ac:dyDescent="0.3">
      <c r="A3" t="s">
        <v>46</v>
      </c>
      <c r="B3" t="s">
        <v>2</v>
      </c>
      <c r="C3" t="s">
        <v>25</v>
      </c>
      <c r="D3" t="s">
        <v>47</v>
      </c>
      <c r="E3" t="s">
        <v>48</v>
      </c>
    </row>
    <row r="4" spans="1:5" x14ac:dyDescent="0.3">
      <c r="A4">
        <v>9</v>
      </c>
      <c r="B4" t="s">
        <v>7</v>
      </c>
      <c r="C4" t="s">
        <v>49</v>
      </c>
      <c r="D4" t="s">
        <v>52</v>
      </c>
      <c r="E4">
        <v>30</v>
      </c>
    </row>
    <row r="5" spans="1:5" x14ac:dyDescent="0.3">
      <c r="A5">
        <v>3</v>
      </c>
      <c r="B5" t="s">
        <v>7</v>
      </c>
      <c r="C5" t="s">
        <v>49</v>
      </c>
      <c r="D5" t="s">
        <v>50</v>
      </c>
      <c r="E5">
        <v>120</v>
      </c>
    </row>
    <row r="6" spans="1:5" x14ac:dyDescent="0.3">
      <c r="A6">
        <v>10</v>
      </c>
      <c r="B6" t="s">
        <v>7</v>
      </c>
      <c r="C6" t="s">
        <v>51</v>
      </c>
      <c r="D6" t="s">
        <v>52</v>
      </c>
      <c r="E6">
        <v>20</v>
      </c>
    </row>
    <row r="7" spans="1:5" x14ac:dyDescent="0.3">
      <c r="A7">
        <v>4</v>
      </c>
      <c r="B7" t="s">
        <v>7</v>
      </c>
      <c r="C7" t="s">
        <v>51</v>
      </c>
      <c r="D7" t="s">
        <v>50</v>
      </c>
      <c r="E7">
        <v>140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FFAD-517E-47FA-9F9A-08A142AC33C7}">
  <dimension ref="A1:E7"/>
  <sheetViews>
    <sheetView workbookViewId="0">
      <selection activeCell="A3" sqref="A3:E7"/>
    </sheetView>
  </sheetViews>
  <sheetFormatPr defaultRowHeight="14.4" x14ac:dyDescent="0.3"/>
  <cols>
    <col min="1" max="2" width="9" bestFit="1" customWidth="1"/>
    <col min="3" max="3" width="9.88671875" bestFit="1" customWidth="1"/>
    <col min="4" max="4" width="10.109375" bestFit="1" customWidth="1"/>
    <col min="5" max="5" width="9" bestFit="1" customWidth="1"/>
  </cols>
  <sheetData>
    <row r="1" spans="1:5" x14ac:dyDescent="0.3">
      <c r="A1" s="13" t="s">
        <v>65</v>
      </c>
    </row>
    <row r="3" spans="1:5" x14ac:dyDescent="0.3">
      <c r="A3" t="s">
        <v>46</v>
      </c>
      <c r="B3" t="s">
        <v>2</v>
      </c>
      <c r="C3" t="s">
        <v>25</v>
      </c>
      <c r="D3" t="s">
        <v>47</v>
      </c>
      <c r="E3" t="s">
        <v>48</v>
      </c>
    </row>
    <row r="4" spans="1:5" x14ac:dyDescent="0.3">
      <c r="A4">
        <v>9</v>
      </c>
      <c r="B4" t="s">
        <v>7</v>
      </c>
      <c r="C4" t="s">
        <v>49</v>
      </c>
      <c r="D4" t="s">
        <v>52</v>
      </c>
      <c r="E4">
        <v>30</v>
      </c>
    </row>
    <row r="5" spans="1:5" x14ac:dyDescent="0.3">
      <c r="A5">
        <v>3</v>
      </c>
      <c r="B5" t="s">
        <v>7</v>
      </c>
      <c r="C5" t="s">
        <v>49</v>
      </c>
      <c r="D5" t="s">
        <v>50</v>
      </c>
      <c r="E5">
        <v>120</v>
      </c>
    </row>
    <row r="6" spans="1:5" x14ac:dyDescent="0.3">
      <c r="A6">
        <v>10</v>
      </c>
      <c r="B6" t="s">
        <v>7</v>
      </c>
      <c r="C6" t="s">
        <v>51</v>
      </c>
      <c r="D6" t="s">
        <v>52</v>
      </c>
      <c r="E6">
        <v>20</v>
      </c>
    </row>
    <row r="7" spans="1:5" x14ac:dyDescent="0.3">
      <c r="A7">
        <v>4</v>
      </c>
      <c r="B7" t="s">
        <v>7</v>
      </c>
      <c r="C7" t="s">
        <v>51</v>
      </c>
      <c r="D7" t="s">
        <v>50</v>
      </c>
      <c r="E7">
        <v>140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8BC1-8388-4FE7-80E9-32E1198F3960}">
  <dimension ref="A2:L51"/>
  <sheetViews>
    <sheetView zoomScale="70" zoomScaleNormal="70" workbookViewId="0">
      <selection activeCell="G6" sqref="G6"/>
    </sheetView>
  </sheetViews>
  <sheetFormatPr defaultRowHeight="14.4" x14ac:dyDescent="0.3"/>
  <cols>
    <col min="1" max="1" width="13.88671875" bestFit="1" customWidth="1"/>
    <col min="2" max="2" width="16.77734375" bestFit="1" customWidth="1"/>
    <col min="3" max="3" width="5.21875" bestFit="1" customWidth="1"/>
    <col min="4" max="4" width="11.109375" bestFit="1" customWidth="1"/>
    <col min="7" max="7" width="13.88671875" bestFit="1" customWidth="1"/>
    <col min="8" max="8" width="16.77734375" bestFit="1" customWidth="1"/>
    <col min="9" max="9" width="5.21875" bestFit="1" customWidth="1"/>
    <col min="10" max="10" width="11.109375" bestFit="1" customWidth="1"/>
  </cols>
  <sheetData>
    <row r="2" spans="1:12" x14ac:dyDescent="0.3">
      <c r="B2" t="s">
        <v>63</v>
      </c>
      <c r="G2" t="s">
        <v>62</v>
      </c>
    </row>
    <row r="3" spans="1:12" x14ac:dyDescent="0.3">
      <c r="A3" s="2" t="s">
        <v>54</v>
      </c>
      <c r="B3" s="2" t="s">
        <v>53</v>
      </c>
      <c r="G3" s="2" t="s">
        <v>54</v>
      </c>
      <c r="H3" s="2" t="s">
        <v>53</v>
      </c>
    </row>
    <row r="4" spans="1:12" x14ac:dyDescent="0.3">
      <c r="A4" s="2" t="s">
        <v>36</v>
      </c>
      <c r="B4" t="s">
        <v>49</v>
      </c>
      <c r="C4" t="s">
        <v>51</v>
      </c>
      <c r="D4" t="s">
        <v>24</v>
      </c>
      <c r="G4" s="2" t="s">
        <v>36</v>
      </c>
      <c r="H4" t="s">
        <v>49</v>
      </c>
      <c r="I4" t="s">
        <v>51</v>
      </c>
      <c r="J4" t="s">
        <v>24</v>
      </c>
    </row>
    <row r="5" spans="1:12" x14ac:dyDescent="0.3">
      <c r="A5" s="6" t="s">
        <v>13</v>
      </c>
      <c r="B5" s="14">
        <v>260</v>
      </c>
      <c r="C5" s="14">
        <v>240</v>
      </c>
      <c r="D5" s="14">
        <v>500</v>
      </c>
      <c r="G5" s="6" t="s">
        <v>13</v>
      </c>
      <c r="H5" s="14"/>
      <c r="I5" s="14"/>
      <c r="J5" s="14"/>
    </row>
    <row r="6" spans="1:12" x14ac:dyDescent="0.3">
      <c r="A6" s="6" t="s">
        <v>7</v>
      </c>
      <c r="B6" s="14">
        <v>150</v>
      </c>
      <c r="C6" s="14">
        <v>160</v>
      </c>
      <c r="D6" s="14">
        <v>310</v>
      </c>
      <c r="G6" s="6" t="s">
        <v>7</v>
      </c>
      <c r="H6" s="14">
        <v>-110</v>
      </c>
      <c r="I6" s="14">
        <v>-80</v>
      </c>
      <c r="J6" s="14">
        <v>-190</v>
      </c>
      <c r="L6">
        <f>GETPIVOTDATA("Sales",$A$3,"Region","East","Product","Auto")-GETPIVOTDATA("Sales",$A$3,"Region","Central","Product","Auto")</f>
        <v>-110</v>
      </c>
    </row>
    <row r="7" spans="1:12" x14ac:dyDescent="0.3">
      <c r="A7" s="6" t="s">
        <v>10</v>
      </c>
      <c r="B7" s="14">
        <v>230</v>
      </c>
      <c r="C7" s="14">
        <v>220</v>
      </c>
      <c r="D7" s="14">
        <v>450</v>
      </c>
      <c r="G7" s="6" t="s">
        <v>10</v>
      </c>
      <c r="H7" s="14">
        <v>-30</v>
      </c>
      <c r="I7" s="14">
        <v>-20</v>
      </c>
      <c r="J7" s="14">
        <v>-50</v>
      </c>
      <c r="L7">
        <f>GETPIVOTDATA("Sales",$A$3,"Region","West","Product","Auto")-GETPIVOTDATA("Sales",$A$3,"Region","Central","Product","Auto")</f>
        <v>-30</v>
      </c>
    </row>
    <row r="8" spans="1:12" x14ac:dyDescent="0.3">
      <c r="A8" s="6" t="s">
        <v>24</v>
      </c>
      <c r="B8" s="14">
        <v>640</v>
      </c>
      <c r="C8" s="14">
        <v>620</v>
      </c>
      <c r="D8" s="14">
        <v>1260</v>
      </c>
      <c r="G8" s="6" t="s">
        <v>24</v>
      </c>
      <c r="H8" s="14"/>
      <c r="I8" s="14"/>
      <c r="J8" s="14"/>
    </row>
    <row r="10" spans="1:12" x14ac:dyDescent="0.3">
      <c r="B10" t="s">
        <v>55</v>
      </c>
      <c r="D10">
        <f>GETPIVOTDATA("Sales",$A$3,"Region","Central","Product","Auto")/GETPIVOTDATA("Sales",$A$3,"Region","Central")</f>
        <v>0.52</v>
      </c>
      <c r="G10" t="s">
        <v>62</v>
      </c>
    </row>
    <row r="11" spans="1:12" x14ac:dyDescent="0.3">
      <c r="A11" s="2" t="s">
        <v>54</v>
      </c>
      <c r="B11" s="2" t="s">
        <v>53</v>
      </c>
      <c r="G11" s="2" t="s">
        <v>54</v>
      </c>
      <c r="H11" s="2" t="s">
        <v>53</v>
      </c>
    </row>
    <row r="12" spans="1:12" x14ac:dyDescent="0.3">
      <c r="A12" s="2" t="s">
        <v>36</v>
      </c>
      <c r="B12" t="s">
        <v>49</v>
      </c>
      <c r="C12" t="s">
        <v>51</v>
      </c>
      <c r="D12" t="s">
        <v>24</v>
      </c>
      <c r="G12" s="2" t="s">
        <v>36</v>
      </c>
      <c r="H12" t="s">
        <v>49</v>
      </c>
      <c r="I12" t="s">
        <v>51</v>
      </c>
      <c r="J12" t="s">
        <v>24</v>
      </c>
    </row>
    <row r="13" spans="1:12" x14ac:dyDescent="0.3">
      <c r="A13" s="6" t="s">
        <v>13</v>
      </c>
      <c r="B13" s="15">
        <v>0.52</v>
      </c>
      <c r="C13" s="15">
        <v>0.48</v>
      </c>
      <c r="D13" s="15">
        <v>1</v>
      </c>
      <c r="E13" t="s">
        <v>68</v>
      </c>
      <c r="G13" s="6" t="s">
        <v>13</v>
      </c>
      <c r="H13" s="15"/>
      <c r="I13" s="15"/>
      <c r="J13" s="15"/>
    </row>
    <row r="14" spans="1:12" x14ac:dyDescent="0.3">
      <c r="A14" s="6" t="s">
        <v>7</v>
      </c>
      <c r="B14" s="15">
        <v>0.4838709677419355</v>
      </c>
      <c r="C14" s="15">
        <v>0.5161290322580645</v>
      </c>
      <c r="D14" s="15">
        <v>1</v>
      </c>
      <c r="G14" s="6" t="s">
        <v>7</v>
      </c>
      <c r="H14" s="15">
        <v>-0.42307692307692307</v>
      </c>
      <c r="I14" s="15">
        <v>-0.33333333333333331</v>
      </c>
      <c r="J14" s="15">
        <v>-0.38</v>
      </c>
    </row>
    <row r="15" spans="1:12" x14ac:dyDescent="0.3">
      <c r="A15" s="6" t="s">
        <v>10</v>
      </c>
      <c r="B15" s="15">
        <v>0.51111111111111107</v>
      </c>
      <c r="C15" s="15">
        <v>0.48888888888888887</v>
      </c>
      <c r="D15" s="15">
        <v>1</v>
      </c>
      <c r="G15" s="6" t="s">
        <v>10</v>
      </c>
      <c r="H15" s="15">
        <v>-0.11538461538461539</v>
      </c>
      <c r="I15" s="15">
        <v>-8.3333333333333329E-2</v>
      </c>
      <c r="J15" s="15">
        <v>-0.1</v>
      </c>
    </row>
    <row r="16" spans="1:12" x14ac:dyDescent="0.3">
      <c r="A16" s="6" t="s">
        <v>24</v>
      </c>
      <c r="B16" s="15">
        <v>0.50793650793650791</v>
      </c>
      <c r="C16" s="15">
        <v>0.49206349206349204</v>
      </c>
      <c r="D16" s="15">
        <v>1</v>
      </c>
      <c r="G16" s="6" t="s">
        <v>24</v>
      </c>
      <c r="H16" s="15"/>
      <c r="I16" s="15"/>
      <c r="J16" s="15"/>
    </row>
    <row r="19" spans="1:10" x14ac:dyDescent="0.3">
      <c r="B19" t="s">
        <v>56</v>
      </c>
      <c r="D19">
        <f>GETPIVOTDATA("Sales",$A$3,"Region","Central","Product","Auto")/GETPIVOTDATA("Sales",$A$3,"Product","Auto")</f>
        <v>0.40625</v>
      </c>
      <c r="G19" s="6" t="s">
        <v>66</v>
      </c>
    </row>
    <row r="20" spans="1:10" x14ac:dyDescent="0.3">
      <c r="A20" s="2" t="s">
        <v>54</v>
      </c>
      <c r="B20" s="2" t="s">
        <v>53</v>
      </c>
      <c r="G20" s="2" t="s">
        <v>54</v>
      </c>
      <c r="H20" s="2" t="s">
        <v>53</v>
      </c>
    </row>
    <row r="21" spans="1:10" x14ac:dyDescent="0.3">
      <c r="A21" s="2" t="s">
        <v>36</v>
      </c>
      <c r="B21" t="s">
        <v>49</v>
      </c>
      <c r="C21" t="s">
        <v>51</v>
      </c>
      <c r="D21" t="s">
        <v>24</v>
      </c>
      <c r="G21" s="2" t="s">
        <v>36</v>
      </c>
      <c r="H21" t="s">
        <v>49</v>
      </c>
      <c r="I21" t="s">
        <v>51</v>
      </c>
      <c r="J21" t="s">
        <v>24</v>
      </c>
    </row>
    <row r="22" spans="1:10" x14ac:dyDescent="0.3">
      <c r="A22" s="6" t="s">
        <v>13</v>
      </c>
      <c r="B22" s="15">
        <v>0.40625</v>
      </c>
      <c r="C22" s="15">
        <v>0.38709677419354838</v>
      </c>
      <c r="D22" s="15">
        <v>0.3968253968253968</v>
      </c>
      <c r="E22" t="s">
        <v>69</v>
      </c>
      <c r="G22" s="6" t="s">
        <v>13</v>
      </c>
      <c r="H22" s="14">
        <v>3</v>
      </c>
      <c r="I22" s="14">
        <v>3</v>
      </c>
      <c r="J22" s="14">
        <v>3</v>
      </c>
    </row>
    <row r="23" spans="1:10" x14ac:dyDescent="0.3">
      <c r="A23" s="6" t="s">
        <v>7</v>
      </c>
      <c r="B23" s="15">
        <v>0.234375</v>
      </c>
      <c r="C23" s="15">
        <v>0.25806451612903225</v>
      </c>
      <c r="D23" s="15">
        <v>0.24603174603174602</v>
      </c>
      <c r="G23" s="6" t="s">
        <v>7</v>
      </c>
      <c r="H23" s="14">
        <v>1</v>
      </c>
      <c r="I23" s="14">
        <v>1</v>
      </c>
      <c r="J23" s="14">
        <v>1</v>
      </c>
    </row>
    <row r="24" spans="1:10" x14ac:dyDescent="0.3">
      <c r="A24" s="6" t="s">
        <v>10</v>
      </c>
      <c r="B24" s="15">
        <v>0.359375</v>
      </c>
      <c r="C24" s="15">
        <v>0.35483870967741937</v>
      </c>
      <c r="D24" s="15">
        <v>0.35714285714285715</v>
      </c>
      <c r="G24" s="6" t="s">
        <v>10</v>
      </c>
      <c r="H24" s="14">
        <v>2</v>
      </c>
      <c r="I24" s="14">
        <v>2</v>
      </c>
      <c r="J24" s="14">
        <v>2</v>
      </c>
    </row>
    <row r="25" spans="1:10" x14ac:dyDescent="0.3">
      <c r="A25" s="6" t="s">
        <v>24</v>
      </c>
      <c r="B25" s="15">
        <v>1</v>
      </c>
      <c r="C25" s="15">
        <v>1</v>
      </c>
      <c r="D25" s="15">
        <v>1</v>
      </c>
      <c r="G25" s="6" t="s">
        <v>24</v>
      </c>
      <c r="H25" s="14"/>
      <c r="I25" s="14"/>
      <c r="J25" s="14"/>
    </row>
    <row r="28" spans="1:10" x14ac:dyDescent="0.3">
      <c r="B28" t="s">
        <v>57</v>
      </c>
      <c r="D28">
        <f>GETPIVOTDATA("Sales",$A$3,"Region","Central","Product","Auto")/GETPIVOTDATA("Sales",$A$3)</f>
        <v>0.20634920634920634</v>
      </c>
      <c r="G28" t="s">
        <v>67</v>
      </c>
    </row>
    <row r="29" spans="1:10" x14ac:dyDescent="0.3">
      <c r="A29" s="2" t="s">
        <v>54</v>
      </c>
      <c r="B29" s="2" t="s">
        <v>53</v>
      </c>
      <c r="G29" s="2" t="s">
        <v>54</v>
      </c>
      <c r="H29" s="2" t="s">
        <v>53</v>
      </c>
    </row>
    <row r="30" spans="1:10" x14ac:dyDescent="0.3">
      <c r="A30" s="2" t="s">
        <v>36</v>
      </c>
      <c r="B30" t="s">
        <v>49</v>
      </c>
      <c r="C30" t="s">
        <v>51</v>
      </c>
      <c r="D30" t="s">
        <v>24</v>
      </c>
      <c r="G30" s="2" t="s">
        <v>36</v>
      </c>
      <c r="H30" t="s">
        <v>49</v>
      </c>
      <c r="I30" t="s">
        <v>51</v>
      </c>
      <c r="J30" t="s">
        <v>24</v>
      </c>
    </row>
    <row r="31" spans="1:10" x14ac:dyDescent="0.3">
      <c r="A31" s="6" t="s">
        <v>13</v>
      </c>
      <c r="B31" s="15">
        <v>0.20634920634920634</v>
      </c>
      <c r="C31" s="15">
        <v>0.19047619047619047</v>
      </c>
      <c r="D31" s="15">
        <v>0.3968253968253968</v>
      </c>
      <c r="G31" s="6" t="s">
        <v>13</v>
      </c>
      <c r="H31" s="14">
        <v>1</v>
      </c>
      <c r="I31" s="14">
        <v>1</v>
      </c>
      <c r="J31" s="14">
        <v>1</v>
      </c>
    </row>
    <row r="32" spans="1:10" x14ac:dyDescent="0.3">
      <c r="A32" s="6" t="s">
        <v>7</v>
      </c>
      <c r="B32" s="15">
        <v>0.11904761904761904</v>
      </c>
      <c r="C32" s="15">
        <v>0.12698412698412698</v>
      </c>
      <c r="D32" s="15">
        <v>0.24603174603174602</v>
      </c>
      <c r="G32" s="6" t="s">
        <v>7</v>
      </c>
      <c r="H32" s="14">
        <v>3</v>
      </c>
      <c r="I32" s="14">
        <v>3</v>
      </c>
      <c r="J32" s="14">
        <v>3</v>
      </c>
    </row>
    <row r="33" spans="1:12" x14ac:dyDescent="0.3">
      <c r="A33" s="6" t="s">
        <v>10</v>
      </c>
      <c r="B33" s="15">
        <v>0.18253968253968253</v>
      </c>
      <c r="C33" s="15">
        <v>0.17460317460317459</v>
      </c>
      <c r="D33" s="15">
        <v>0.35714285714285715</v>
      </c>
      <c r="G33" s="6" t="s">
        <v>10</v>
      </c>
      <c r="H33" s="14">
        <v>2</v>
      </c>
      <c r="I33" s="14">
        <v>2</v>
      </c>
      <c r="J33" s="14">
        <v>2</v>
      </c>
    </row>
    <row r="34" spans="1:12" x14ac:dyDescent="0.3">
      <c r="A34" s="6" t="s">
        <v>24</v>
      </c>
      <c r="B34" s="15">
        <v>0.50793650793650791</v>
      </c>
      <c r="C34" s="15">
        <v>0.49206349206349204</v>
      </c>
      <c r="D34" s="15">
        <v>1</v>
      </c>
      <c r="G34" s="6" t="s">
        <v>24</v>
      </c>
      <c r="H34" s="14"/>
      <c r="I34" s="14"/>
      <c r="J34" s="14"/>
    </row>
    <row r="37" spans="1:12" x14ac:dyDescent="0.3">
      <c r="B37" t="s">
        <v>58</v>
      </c>
    </row>
    <row r="38" spans="1:12" x14ac:dyDescent="0.3">
      <c r="A38" s="2" t="s">
        <v>54</v>
      </c>
      <c r="B38" s="2" t="s">
        <v>53</v>
      </c>
    </row>
    <row r="39" spans="1:12" x14ac:dyDescent="0.3">
      <c r="A39" s="2" t="s">
        <v>36</v>
      </c>
      <c r="B39" t="s">
        <v>49</v>
      </c>
      <c r="C39" t="s">
        <v>51</v>
      </c>
      <c r="D39" t="s">
        <v>24</v>
      </c>
      <c r="E39" t="s">
        <v>59</v>
      </c>
      <c r="F39">
        <f>GETPIVOTDATA("Sales",$A$3,"Region","Central","Product","Auto")*GETPIVOTDATA("Sales",$A$3)</f>
        <v>327600</v>
      </c>
    </row>
    <row r="40" spans="1:12" x14ac:dyDescent="0.3">
      <c r="A40" s="6" t="s">
        <v>13</v>
      </c>
      <c r="B40" s="14">
        <v>1.0237500000000002</v>
      </c>
      <c r="C40" s="14">
        <v>0.97548387096774192</v>
      </c>
      <c r="D40" s="14">
        <v>1</v>
      </c>
      <c r="E40" t="s">
        <v>60</v>
      </c>
      <c r="F40">
        <f>GETPIVOTDATA("Sales",$A$3,"Product","Auto")*GETPIVOTDATA("Sales",$A$3,"Region","Central")</f>
        <v>320000</v>
      </c>
    </row>
    <row r="41" spans="1:12" x14ac:dyDescent="0.3">
      <c r="A41" s="6" t="s">
        <v>7</v>
      </c>
      <c r="B41" s="14">
        <v>0.95262096774193539</v>
      </c>
      <c r="C41" s="14">
        <v>1.048907388137357</v>
      </c>
      <c r="D41" s="14">
        <v>1</v>
      </c>
      <c r="F41">
        <f>F39/F40</f>
        <v>1.0237499999999999</v>
      </c>
    </row>
    <row r="42" spans="1:12" x14ac:dyDescent="0.3">
      <c r="A42" s="6" t="s">
        <v>10</v>
      </c>
      <c r="B42" s="14">
        <v>1.0062500000000001</v>
      </c>
      <c r="C42" s="14">
        <v>0.99354838709677418</v>
      </c>
      <c r="D42" s="14">
        <v>1</v>
      </c>
    </row>
    <row r="43" spans="1:12" x14ac:dyDescent="0.3">
      <c r="A43" s="6" t="s">
        <v>24</v>
      </c>
      <c r="B43" s="14">
        <v>1</v>
      </c>
      <c r="C43" s="14">
        <v>1</v>
      </c>
      <c r="D43" s="14">
        <v>1</v>
      </c>
    </row>
    <row r="45" spans="1:12" x14ac:dyDescent="0.3">
      <c r="B45" t="s">
        <v>61</v>
      </c>
      <c r="H45" t="s">
        <v>64</v>
      </c>
    </row>
    <row r="46" spans="1:12" x14ac:dyDescent="0.3">
      <c r="A46" s="2" t="s">
        <v>54</v>
      </c>
      <c r="B46" s="2" t="s">
        <v>53</v>
      </c>
      <c r="G46" s="2" t="s">
        <v>54</v>
      </c>
      <c r="H46" s="2" t="s">
        <v>53</v>
      </c>
    </row>
    <row r="47" spans="1:12" x14ac:dyDescent="0.3">
      <c r="A47" s="2" t="s">
        <v>36</v>
      </c>
      <c r="B47" t="s">
        <v>49</v>
      </c>
      <c r="C47" t="s">
        <v>51</v>
      </c>
      <c r="D47" t="s">
        <v>24</v>
      </c>
      <c r="G47" s="2" t="s">
        <v>36</v>
      </c>
      <c r="H47" t="s">
        <v>49</v>
      </c>
      <c r="I47" t="s">
        <v>51</v>
      </c>
      <c r="J47" t="s">
        <v>24</v>
      </c>
    </row>
    <row r="48" spans="1:12" x14ac:dyDescent="0.3">
      <c r="A48" s="6" t="s">
        <v>13</v>
      </c>
      <c r="B48" s="14">
        <v>260</v>
      </c>
      <c r="C48" s="14">
        <v>240</v>
      </c>
      <c r="D48" s="14">
        <v>500</v>
      </c>
      <c r="G48" s="6" t="s">
        <v>13</v>
      </c>
      <c r="H48" s="15">
        <v>0.40625</v>
      </c>
      <c r="I48" s="15">
        <v>0.38709677419354838</v>
      </c>
      <c r="J48" s="15">
        <v>0.3968253968253968</v>
      </c>
      <c r="L48">
        <f>GETPIVOTDATA("Sales",$A$46,"Region","Central","Product","Auto")/GETPIVOTDATA("Sales",$A$46,"Region","West","Product","Auto")</f>
        <v>0.40625</v>
      </c>
    </row>
    <row r="49" spans="1:12" x14ac:dyDescent="0.3">
      <c r="A49" s="6" t="s">
        <v>7</v>
      </c>
      <c r="B49" s="14">
        <v>410</v>
      </c>
      <c r="C49" s="14">
        <v>400</v>
      </c>
      <c r="D49" s="14">
        <v>810</v>
      </c>
      <c r="F49">
        <f>GETPIVOTDATA("Sales",$A$3,"Region","Central","Product","Auto")+GETPIVOTDATA("Sales",$A$3,"Region","East","Product","Auto")</f>
        <v>410</v>
      </c>
      <c r="G49" s="6" t="s">
        <v>7</v>
      </c>
      <c r="H49" s="15">
        <v>0.640625</v>
      </c>
      <c r="I49" s="15">
        <v>0.64516129032258063</v>
      </c>
      <c r="J49" s="15">
        <v>0.6428571428571429</v>
      </c>
      <c r="L49">
        <f>GETPIVOTDATA("Sales",$A$46,"Region","East","Product","Auto")/GETPIVOTDATA("Sales",$A$46,"Region","West","Product","Auto")</f>
        <v>0.640625</v>
      </c>
    </row>
    <row r="50" spans="1:12" x14ac:dyDescent="0.3">
      <c r="A50" s="6" t="s">
        <v>10</v>
      </c>
      <c r="B50" s="14">
        <v>640</v>
      </c>
      <c r="C50" s="14">
        <v>620</v>
      </c>
      <c r="D50" s="14">
        <v>1260</v>
      </c>
      <c r="F50">
        <f>F49+GETPIVOTDATA("Sales",$A$3,"Region","West","Product","Auto")</f>
        <v>640</v>
      </c>
      <c r="G50" s="6" t="s">
        <v>10</v>
      </c>
      <c r="H50" s="15">
        <v>1</v>
      </c>
      <c r="I50" s="15">
        <v>1</v>
      </c>
      <c r="J50" s="15">
        <v>1</v>
      </c>
    </row>
    <row r="51" spans="1:12" x14ac:dyDescent="0.3">
      <c r="A51" s="6" t="s">
        <v>24</v>
      </c>
      <c r="B51" s="14"/>
      <c r="C51" s="14"/>
      <c r="D51" s="14"/>
      <c r="G51" s="6" t="s">
        <v>24</v>
      </c>
      <c r="H51" s="15"/>
      <c r="I51" s="15"/>
      <c r="J51" s="15"/>
    </row>
  </sheetData>
  <pageMargins left="0.7" right="0.7" top="0.75" bottom="0.75" header="0.3" footer="0.3"/>
  <pageSetup orientation="portrait" r:id="rId12"/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41B9-77D2-410F-9CDD-BD8B43E2E393}">
  <dimension ref="A1:C9"/>
  <sheetViews>
    <sheetView workbookViewId="0">
      <selection activeCell="G11" sqref="G11"/>
    </sheetView>
  </sheetViews>
  <sheetFormatPr defaultRowHeight="14.4" x14ac:dyDescent="0.3"/>
  <cols>
    <col min="3" max="3" width="8.88671875" style="18"/>
  </cols>
  <sheetData>
    <row r="1" spans="1:3" x14ac:dyDescent="0.3">
      <c r="A1" s="11" t="s">
        <v>2</v>
      </c>
      <c r="B1" s="11" t="s">
        <v>70</v>
      </c>
      <c r="C1" s="16" t="s">
        <v>48</v>
      </c>
    </row>
    <row r="2" spans="1:3" x14ac:dyDescent="0.3">
      <c r="A2" s="12" t="s">
        <v>71</v>
      </c>
      <c r="B2" s="12" t="s">
        <v>49</v>
      </c>
      <c r="C2" s="17">
        <v>300</v>
      </c>
    </row>
    <row r="3" spans="1:3" x14ac:dyDescent="0.3">
      <c r="A3" s="12" t="s">
        <v>71</v>
      </c>
      <c r="B3" s="12" t="s">
        <v>49</v>
      </c>
      <c r="C3" s="17">
        <v>200</v>
      </c>
    </row>
    <row r="4" spans="1:3" x14ac:dyDescent="0.3">
      <c r="A4" s="12" t="s">
        <v>71</v>
      </c>
      <c r="B4" s="12" t="s">
        <v>72</v>
      </c>
      <c r="C4" s="17">
        <v>500</v>
      </c>
    </row>
    <row r="5" spans="1:3" x14ac:dyDescent="0.3">
      <c r="A5" s="12" t="s">
        <v>71</v>
      </c>
      <c r="B5" s="12" t="s">
        <v>72</v>
      </c>
      <c r="C5" s="17">
        <v>100</v>
      </c>
    </row>
    <row r="6" spans="1:3" x14ac:dyDescent="0.3">
      <c r="A6" s="12" t="s">
        <v>73</v>
      </c>
      <c r="B6" s="12" t="s">
        <v>49</v>
      </c>
      <c r="C6" s="17">
        <v>400</v>
      </c>
    </row>
    <row r="7" spans="1:3" x14ac:dyDescent="0.3">
      <c r="A7" s="12" t="s">
        <v>73</v>
      </c>
      <c r="B7" s="12" t="s">
        <v>49</v>
      </c>
      <c r="C7" s="17">
        <v>100</v>
      </c>
    </row>
    <row r="8" spans="1:3" x14ac:dyDescent="0.3">
      <c r="A8" s="12" t="s">
        <v>73</v>
      </c>
      <c r="B8" s="12" t="s">
        <v>72</v>
      </c>
      <c r="C8" s="17">
        <v>300</v>
      </c>
    </row>
    <row r="9" spans="1:3" x14ac:dyDescent="0.3">
      <c r="A9" s="12" t="s">
        <v>73</v>
      </c>
      <c r="B9" s="12" t="s">
        <v>72</v>
      </c>
      <c r="C9" s="17">
        <v>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F940-9628-48D7-ABEA-19FD93B94F98}">
  <dimension ref="A3:E36"/>
  <sheetViews>
    <sheetView workbookViewId="0">
      <selection activeCell="F2" sqref="F2:K39"/>
    </sheetView>
  </sheetViews>
  <sheetFormatPr defaultRowHeight="14.4" x14ac:dyDescent="0.3"/>
  <cols>
    <col min="1" max="1" width="11.6640625" bestFit="1" customWidth="1"/>
    <col min="2" max="4" width="10.77734375" bestFit="1" customWidth="1"/>
  </cols>
  <sheetData>
    <row r="3" spans="1:5" x14ac:dyDescent="0.3">
      <c r="A3" s="2" t="s">
        <v>54</v>
      </c>
      <c r="B3" s="2" t="s">
        <v>70</v>
      </c>
    </row>
    <row r="4" spans="1:5" x14ac:dyDescent="0.3">
      <c r="A4" s="2" t="s">
        <v>2</v>
      </c>
      <c r="B4" t="s">
        <v>49</v>
      </c>
      <c r="C4" t="s">
        <v>72</v>
      </c>
      <c r="D4" t="s">
        <v>24</v>
      </c>
    </row>
    <row r="5" spans="1:5" x14ac:dyDescent="0.3">
      <c r="A5" t="s">
        <v>71</v>
      </c>
      <c r="B5" s="14">
        <v>500</v>
      </c>
      <c r="C5" s="14">
        <v>600</v>
      </c>
      <c r="D5" s="14">
        <v>1100</v>
      </c>
    </row>
    <row r="6" spans="1:5" x14ac:dyDescent="0.3">
      <c r="A6" t="s">
        <v>73</v>
      </c>
      <c r="B6" s="14">
        <v>500</v>
      </c>
      <c r="C6" s="14">
        <v>500</v>
      </c>
      <c r="D6" s="14">
        <v>1000</v>
      </c>
    </row>
    <row r="7" spans="1:5" x14ac:dyDescent="0.3">
      <c r="A7" t="s">
        <v>24</v>
      </c>
      <c r="B7" s="14">
        <v>1000</v>
      </c>
      <c r="C7" s="14">
        <v>1100</v>
      </c>
      <c r="D7" s="14">
        <v>2100</v>
      </c>
    </row>
    <row r="11" spans="1:5" x14ac:dyDescent="0.3">
      <c r="B11" t="s">
        <v>55</v>
      </c>
    </row>
    <row r="12" spans="1:5" x14ac:dyDescent="0.3">
      <c r="A12" s="2" t="s">
        <v>54</v>
      </c>
      <c r="B12" s="2" t="s">
        <v>70</v>
      </c>
    </row>
    <row r="13" spans="1:5" x14ac:dyDescent="0.3">
      <c r="A13" s="2" t="s">
        <v>2</v>
      </c>
      <c r="B13" t="s">
        <v>49</v>
      </c>
      <c r="C13" t="s">
        <v>72</v>
      </c>
      <c r="D13" t="s">
        <v>24</v>
      </c>
    </row>
    <row r="14" spans="1:5" x14ac:dyDescent="0.3">
      <c r="A14" t="s">
        <v>71</v>
      </c>
      <c r="B14" s="15">
        <v>0.45454545454545453</v>
      </c>
      <c r="C14" s="15">
        <v>0.54545454545454541</v>
      </c>
      <c r="D14" s="15">
        <v>1</v>
      </c>
      <c r="E14">
        <f>500/1100</f>
        <v>0.45454545454545453</v>
      </c>
    </row>
    <row r="15" spans="1:5" x14ac:dyDescent="0.3">
      <c r="A15" t="s">
        <v>73</v>
      </c>
      <c r="B15" s="15">
        <v>0.5</v>
      </c>
      <c r="C15" s="15">
        <v>0.5</v>
      </c>
      <c r="D15" s="15">
        <v>1</v>
      </c>
    </row>
    <row r="16" spans="1:5" x14ac:dyDescent="0.3">
      <c r="A16" t="s">
        <v>24</v>
      </c>
      <c r="B16" s="15">
        <v>0.47619047619047616</v>
      </c>
      <c r="C16" s="15">
        <v>0.52380952380952384</v>
      </c>
      <c r="D16" s="15">
        <v>1</v>
      </c>
    </row>
    <row r="21" spans="1:5" x14ac:dyDescent="0.3">
      <c r="B21" t="s">
        <v>56</v>
      </c>
    </row>
    <row r="22" spans="1:5" x14ac:dyDescent="0.3">
      <c r="A22" s="2" t="s">
        <v>54</v>
      </c>
      <c r="B22" s="2" t="s">
        <v>70</v>
      </c>
    </row>
    <row r="23" spans="1:5" x14ac:dyDescent="0.3">
      <c r="A23" s="2" t="s">
        <v>2</v>
      </c>
      <c r="B23" t="s">
        <v>49</v>
      </c>
      <c r="C23" t="s">
        <v>72</v>
      </c>
      <c r="D23" t="s">
        <v>24</v>
      </c>
    </row>
    <row r="24" spans="1:5" x14ac:dyDescent="0.3">
      <c r="A24" t="s">
        <v>71</v>
      </c>
      <c r="B24" s="15">
        <v>0.5</v>
      </c>
      <c r="C24" s="15">
        <v>0.54545454545454541</v>
      </c>
      <c r="D24" s="15">
        <v>0.52380952380952384</v>
      </c>
      <c r="E24">
        <f>500/1000</f>
        <v>0.5</v>
      </c>
    </row>
    <row r="25" spans="1:5" x14ac:dyDescent="0.3">
      <c r="A25" t="s">
        <v>73</v>
      </c>
      <c r="B25" s="15">
        <v>0.5</v>
      </c>
      <c r="C25" s="15">
        <v>0.45454545454545453</v>
      </c>
      <c r="D25" s="15">
        <v>0.47619047619047616</v>
      </c>
      <c r="E25">
        <f>1000/2100</f>
        <v>0.47619047619047616</v>
      </c>
    </row>
    <row r="26" spans="1:5" x14ac:dyDescent="0.3">
      <c r="A26" t="s">
        <v>24</v>
      </c>
      <c r="B26" s="15">
        <v>1</v>
      </c>
      <c r="C26" s="15">
        <v>1</v>
      </c>
      <c r="D26" s="15">
        <v>1</v>
      </c>
    </row>
    <row r="31" spans="1:5" x14ac:dyDescent="0.3">
      <c r="B31" t="s">
        <v>57</v>
      </c>
    </row>
    <row r="32" spans="1:5" x14ac:dyDescent="0.3">
      <c r="A32" s="2" t="s">
        <v>54</v>
      </c>
      <c r="B32" s="2" t="s">
        <v>70</v>
      </c>
    </row>
    <row r="33" spans="1:5" x14ac:dyDescent="0.3">
      <c r="A33" s="2" t="s">
        <v>2</v>
      </c>
      <c r="B33" t="s">
        <v>49</v>
      </c>
      <c r="C33" t="s">
        <v>72</v>
      </c>
      <c r="D33" t="s">
        <v>24</v>
      </c>
    </row>
    <row r="34" spans="1:5" x14ac:dyDescent="0.3">
      <c r="A34" t="s">
        <v>71</v>
      </c>
      <c r="B34" s="15">
        <v>0.23809523809523808</v>
      </c>
      <c r="C34" s="15">
        <v>0.2857142857142857</v>
      </c>
      <c r="D34" s="15">
        <v>0.52380952380952384</v>
      </c>
      <c r="E34">
        <f>600/2100</f>
        <v>0.2857142857142857</v>
      </c>
    </row>
    <row r="35" spans="1:5" x14ac:dyDescent="0.3">
      <c r="A35" t="s">
        <v>73</v>
      </c>
      <c r="B35" s="15">
        <v>0.23809523809523808</v>
      </c>
      <c r="C35" s="15">
        <v>0.23809523809523808</v>
      </c>
      <c r="D35" s="15">
        <v>0.47619047619047616</v>
      </c>
    </row>
    <row r="36" spans="1:5" x14ac:dyDescent="0.3">
      <c r="A36" t="s">
        <v>24</v>
      </c>
      <c r="B36" s="15">
        <v>0.47619047619047616</v>
      </c>
      <c r="C36" s="15">
        <v>0.52380952380952384</v>
      </c>
      <c r="D36" s="15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2347-ED85-4837-96F9-0A9E122588E6}">
  <dimension ref="A1:D9"/>
  <sheetViews>
    <sheetView workbookViewId="0">
      <selection sqref="A1:D9"/>
    </sheetView>
  </sheetViews>
  <sheetFormatPr defaultRowHeight="14.4" x14ac:dyDescent="0.3"/>
  <sheetData>
    <row r="1" spans="1:4" x14ac:dyDescent="0.3">
      <c r="A1" s="11" t="s">
        <v>2</v>
      </c>
      <c r="B1" s="11" t="s">
        <v>70</v>
      </c>
      <c r="C1" s="11" t="s">
        <v>25</v>
      </c>
      <c r="D1" s="11" t="s">
        <v>48</v>
      </c>
    </row>
    <row r="2" spans="1:4" x14ac:dyDescent="0.3">
      <c r="A2" s="12" t="s">
        <v>71</v>
      </c>
      <c r="B2" s="12" t="s">
        <v>49</v>
      </c>
      <c r="C2" s="12" t="s">
        <v>74</v>
      </c>
      <c r="D2" s="12">
        <v>300</v>
      </c>
    </row>
    <row r="3" spans="1:4" x14ac:dyDescent="0.3">
      <c r="A3" s="12" t="s">
        <v>71</v>
      </c>
      <c r="B3" s="12" t="s">
        <v>49</v>
      </c>
      <c r="C3" s="12" t="s">
        <v>75</v>
      </c>
      <c r="D3" s="12">
        <v>200</v>
      </c>
    </row>
    <row r="4" spans="1:4" ht="28.8" x14ac:dyDescent="0.3">
      <c r="A4" s="12" t="s">
        <v>71</v>
      </c>
      <c r="B4" s="12" t="s">
        <v>72</v>
      </c>
      <c r="C4" s="12" t="s">
        <v>76</v>
      </c>
      <c r="D4" s="12">
        <v>350</v>
      </c>
    </row>
    <row r="5" spans="1:4" ht="28.8" x14ac:dyDescent="0.3">
      <c r="A5" s="12" t="s">
        <v>71</v>
      </c>
      <c r="B5" s="12" t="s">
        <v>72</v>
      </c>
      <c r="C5" s="12" t="s">
        <v>77</v>
      </c>
      <c r="D5" s="12">
        <v>250</v>
      </c>
    </row>
    <row r="6" spans="1:4" x14ac:dyDescent="0.3">
      <c r="A6" s="12" t="s">
        <v>73</v>
      </c>
      <c r="B6" s="12" t="s">
        <v>49</v>
      </c>
      <c r="C6" s="12" t="s">
        <v>74</v>
      </c>
      <c r="D6" s="12">
        <v>400</v>
      </c>
    </row>
    <row r="7" spans="1:4" x14ac:dyDescent="0.3">
      <c r="A7" s="12" t="s">
        <v>73</v>
      </c>
      <c r="B7" s="12" t="s">
        <v>49</v>
      </c>
      <c r="C7" s="12" t="s">
        <v>75</v>
      </c>
      <c r="D7" s="12">
        <v>100</v>
      </c>
    </row>
    <row r="8" spans="1:4" ht="28.8" x14ac:dyDescent="0.3">
      <c r="A8" s="12" t="s">
        <v>73</v>
      </c>
      <c r="B8" s="12" t="s">
        <v>72</v>
      </c>
      <c r="C8" s="12" t="s">
        <v>76</v>
      </c>
      <c r="D8" s="12">
        <v>300</v>
      </c>
    </row>
    <row r="9" spans="1:4" ht="28.8" x14ac:dyDescent="0.3">
      <c r="A9" s="12" t="s">
        <v>73</v>
      </c>
      <c r="B9" s="12" t="s">
        <v>72</v>
      </c>
      <c r="C9" s="12" t="s">
        <v>77</v>
      </c>
      <c r="D9" s="12">
        <v>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A686-5249-415A-B60E-522FC2F312B2}">
  <dimension ref="B1:M36"/>
  <sheetViews>
    <sheetView tabSelected="1" zoomScale="69" zoomScaleNormal="69" workbookViewId="0">
      <selection activeCell="K19" sqref="K19"/>
    </sheetView>
  </sheetViews>
  <sheetFormatPr defaultRowHeight="14.4" x14ac:dyDescent="0.3"/>
  <cols>
    <col min="1" max="1" width="12.5546875" bestFit="1" customWidth="1"/>
    <col min="2" max="2" width="17.77734375" bestFit="1" customWidth="1"/>
    <col min="3" max="3" width="17" bestFit="1" customWidth="1"/>
    <col min="4" max="4" width="7.21875" bestFit="1" customWidth="1"/>
    <col min="5" max="5" width="11.21875" bestFit="1" customWidth="1"/>
    <col min="6" max="6" width="10.77734375" bestFit="1" customWidth="1"/>
    <col min="8" max="8" width="17.6640625" bestFit="1" customWidth="1"/>
    <col min="9" max="9" width="17.77734375" bestFit="1" customWidth="1"/>
    <col min="10" max="10" width="17" bestFit="1" customWidth="1"/>
    <col min="11" max="11" width="8.6640625" bestFit="1" customWidth="1"/>
    <col min="12" max="12" width="11.21875" bestFit="1" customWidth="1"/>
  </cols>
  <sheetData>
    <row r="1" spans="2:12" x14ac:dyDescent="0.3">
      <c r="J1" t="s">
        <v>79</v>
      </c>
    </row>
    <row r="2" spans="2:12" x14ac:dyDescent="0.3">
      <c r="B2" s="2" t="s">
        <v>54</v>
      </c>
      <c r="C2" s="2" t="s">
        <v>53</v>
      </c>
      <c r="I2" s="2" t="s">
        <v>54</v>
      </c>
      <c r="J2" s="2" t="s">
        <v>53</v>
      </c>
    </row>
    <row r="3" spans="2:12" x14ac:dyDescent="0.3">
      <c r="B3" s="2" t="s">
        <v>36</v>
      </c>
      <c r="C3" t="s">
        <v>49</v>
      </c>
      <c r="D3" t="s">
        <v>72</v>
      </c>
      <c r="E3" t="s">
        <v>24</v>
      </c>
      <c r="I3" s="2" t="s">
        <v>36</v>
      </c>
      <c r="J3" t="s">
        <v>49</v>
      </c>
      <c r="K3" t="s">
        <v>72</v>
      </c>
      <c r="L3" t="s">
        <v>24</v>
      </c>
    </row>
    <row r="4" spans="2:12" x14ac:dyDescent="0.3">
      <c r="B4" s="6" t="s">
        <v>71</v>
      </c>
      <c r="C4" s="19">
        <v>500</v>
      </c>
      <c r="D4" s="19">
        <v>600</v>
      </c>
      <c r="E4" s="19">
        <v>1100</v>
      </c>
      <c r="I4" s="6" t="s">
        <v>71</v>
      </c>
      <c r="J4" s="15">
        <v>0.5</v>
      </c>
      <c r="K4" s="15">
        <v>0.54545454545454541</v>
      </c>
      <c r="L4" s="15">
        <v>0.52380952380952384</v>
      </c>
    </row>
    <row r="5" spans="2:12" x14ac:dyDescent="0.3">
      <c r="B5" s="3" t="s">
        <v>75</v>
      </c>
      <c r="C5" s="19">
        <v>200</v>
      </c>
      <c r="D5" s="19"/>
      <c r="E5" s="19">
        <v>200</v>
      </c>
      <c r="I5" s="3" t="s">
        <v>75</v>
      </c>
      <c r="J5" s="15">
        <v>0.4</v>
      </c>
      <c r="K5" s="15">
        <v>0</v>
      </c>
      <c r="L5" s="15">
        <v>0.18181818181818182</v>
      </c>
    </row>
    <row r="6" spans="2:12" x14ac:dyDescent="0.3">
      <c r="B6" s="3" t="s">
        <v>74</v>
      </c>
      <c r="C6" s="19">
        <v>300</v>
      </c>
      <c r="D6" s="19"/>
      <c r="E6" s="19">
        <v>300</v>
      </c>
      <c r="I6" s="3" t="s">
        <v>74</v>
      </c>
      <c r="J6" s="15">
        <v>0.6</v>
      </c>
      <c r="K6" s="15">
        <v>0</v>
      </c>
      <c r="L6" s="15">
        <v>0.27272727272727271</v>
      </c>
    </row>
    <row r="7" spans="2:12" x14ac:dyDescent="0.3">
      <c r="B7" s="3" t="s">
        <v>76</v>
      </c>
      <c r="C7" s="19"/>
      <c r="D7" s="19">
        <v>350</v>
      </c>
      <c r="E7" s="19">
        <v>350</v>
      </c>
      <c r="I7" s="3" t="s">
        <v>76</v>
      </c>
      <c r="J7" s="15">
        <v>0</v>
      </c>
      <c r="K7" s="15">
        <v>0.58333333333333337</v>
      </c>
      <c r="L7" s="15">
        <v>0.31818181818181818</v>
      </c>
    </row>
    <row r="8" spans="2:12" x14ac:dyDescent="0.3">
      <c r="B8" s="3" t="s">
        <v>77</v>
      </c>
      <c r="C8" s="19"/>
      <c r="D8" s="19">
        <v>250</v>
      </c>
      <c r="E8" s="19">
        <v>250</v>
      </c>
      <c r="I8" s="3" t="s">
        <v>77</v>
      </c>
      <c r="J8" s="15">
        <v>0</v>
      </c>
      <c r="K8" s="15">
        <v>0.41666666666666669</v>
      </c>
      <c r="L8" s="15">
        <v>0.22727272727272727</v>
      </c>
    </row>
    <row r="9" spans="2:12" x14ac:dyDescent="0.3">
      <c r="B9" s="6" t="s">
        <v>73</v>
      </c>
      <c r="C9" s="19">
        <v>500</v>
      </c>
      <c r="D9" s="19">
        <v>500</v>
      </c>
      <c r="E9" s="19">
        <v>1000</v>
      </c>
      <c r="I9" s="6" t="s">
        <v>73</v>
      </c>
      <c r="J9" s="15">
        <v>0.5</v>
      </c>
      <c r="K9" s="15">
        <v>0.45454545454545453</v>
      </c>
      <c r="L9" s="15">
        <v>0.47619047619047616</v>
      </c>
    </row>
    <row r="10" spans="2:12" x14ac:dyDescent="0.3">
      <c r="B10" s="3" t="s">
        <v>75</v>
      </c>
      <c r="C10" s="19">
        <v>100</v>
      </c>
      <c r="D10" s="19"/>
      <c r="E10" s="19">
        <v>100</v>
      </c>
      <c r="I10" s="3" t="s">
        <v>75</v>
      </c>
      <c r="J10" s="15">
        <v>0.2</v>
      </c>
      <c r="K10" s="15">
        <v>0</v>
      </c>
      <c r="L10" s="15">
        <v>0.1</v>
      </c>
    </row>
    <row r="11" spans="2:12" x14ac:dyDescent="0.3">
      <c r="B11" s="3" t="s">
        <v>74</v>
      </c>
      <c r="C11" s="19">
        <v>400</v>
      </c>
      <c r="D11" s="19"/>
      <c r="E11" s="19">
        <v>400</v>
      </c>
      <c r="I11" s="3" t="s">
        <v>74</v>
      </c>
      <c r="J11" s="15">
        <v>0.8</v>
      </c>
      <c r="K11" s="15">
        <v>0</v>
      </c>
      <c r="L11" s="15">
        <v>0.4</v>
      </c>
    </row>
    <row r="12" spans="2:12" x14ac:dyDescent="0.3">
      <c r="B12" s="3" t="s">
        <v>76</v>
      </c>
      <c r="C12" s="19"/>
      <c r="D12" s="19">
        <v>300</v>
      </c>
      <c r="E12" s="19">
        <v>300</v>
      </c>
      <c r="I12" s="3" t="s">
        <v>76</v>
      </c>
      <c r="J12" s="15">
        <v>0</v>
      </c>
      <c r="K12" s="15">
        <v>0.6</v>
      </c>
      <c r="L12" s="15">
        <v>0.3</v>
      </c>
    </row>
    <row r="13" spans="2:12" x14ac:dyDescent="0.3">
      <c r="B13" s="3" t="s">
        <v>77</v>
      </c>
      <c r="C13" s="19"/>
      <c r="D13" s="19">
        <v>200</v>
      </c>
      <c r="E13" s="19">
        <v>200</v>
      </c>
      <c r="I13" s="3" t="s">
        <v>77</v>
      </c>
      <c r="J13" s="15">
        <v>0</v>
      </c>
      <c r="K13" s="15">
        <v>0.4</v>
      </c>
      <c r="L13" s="15">
        <v>0.2</v>
      </c>
    </row>
    <row r="14" spans="2:12" x14ac:dyDescent="0.3">
      <c r="B14" s="6" t="s">
        <v>24</v>
      </c>
      <c r="C14" s="19">
        <v>1000</v>
      </c>
      <c r="D14" s="19">
        <v>1100</v>
      </c>
      <c r="E14" s="19">
        <v>2100</v>
      </c>
      <c r="I14" s="6" t="s">
        <v>24</v>
      </c>
      <c r="J14" s="15">
        <v>1</v>
      </c>
      <c r="K14" s="15">
        <v>1</v>
      </c>
      <c r="L14" s="15">
        <v>1</v>
      </c>
    </row>
    <row r="23" spans="2:13" x14ac:dyDescent="0.3">
      <c r="C23" t="s">
        <v>78</v>
      </c>
      <c r="J23" t="s">
        <v>80</v>
      </c>
    </row>
    <row r="24" spans="2:13" x14ac:dyDescent="0.3">
      <c r="B24" s="2" t="s">
        <v>54</v>
      </c>
      <c r="C24" s="2" t="s">
        <v>53</v>
      </c>
      <c r="I24" s="2" t="s">
        <v>54</v>
      </c>
      <c r="J24" s="2" t="s">
        <v>53</v>
      </c>
    </row>
    <row r="25" spans="2:13" x14ac:dyDescent="0.3">
      <c r="B25" s="2" t="s">
        <v>36</v>
      </c>
      <c r="C25" t="s">
        <v>49</v>
      </c>
      <c r="D25" t="s">
        <v>72</v>
      </c>
      <c r="E25" t="s">
        <v>24</v>
      </c>
      <c r="I25" s="2" t="s">
        <v>36</v>
      </c>
      <c r="J25" t="s">
        <v>49</v>
      </c>
      <c r="K25" t="s">
        <v>72</v>
      </c>
      <c r="L25" t="s">
        <v>24</v>
      </c>
    </row>
    <row r="26" spans="2:13" x14ac:dyDescent="0.3">
      <c r="B26" s="6" t="s">
        <v>71</v>
      </c>
      <c r="C26" s="15">
        <v>0.45454545454545453</v>
      </c>
      <c r="D26" s="15">
        <v>0.54545454545454541</v>
      </c>
      <c r="E26" s="15">
        <v>1</v>
      </c>
      <c r="F26">
        <f>GETPIVOTDATA("Sales",$B$2,"Region","North","Category","Auto")/GETPIVOTDATA("Sales",$B$2,"Region","North")</f>
        <v>0.45454545454545453</v>
      </c>
      <c r="I26" s="6" t="s">
        <v>71</v>
      </c>
      <c r="J26" s="15">
        <v>1</v>
      </c>
      <c r="K26" s="15">
        <v>1</v>
      </c>
      <c r="L26" s="15">
        <v>1</v>
      </c>
    </row>
    <row r="27" spans="2:13" x14ac:dyDescent="0.3">
      <c r="B27" s="3" t="s">
        <v>75</v>
      </c>
      <c r="C27" s="15">
        <v>1</v>
      </c>
      <c r="D27" s="15">
        <v>0</v>
      </c>
      <c r="E27" s="15">
        <v>1</v>
      </c>
      <c r="F27">
        <f>GETPIVOTDATA("Sales",$B$2,"Region","North","Category","Auto","Product","Bike")/GETPIVOTDATA("Sales",$B$2,"Region","North","Product","Bike")</f>
        <v>1</v>
      </c>
      <c r="I27" s="3" t="s">
        <v>75</v>
      </c>
      <c r="J27" s="15">
        <v>0.4</v>
      </c>
      <c r="K27" s="15">
        <v>0</v>
      </c>
      <c r="L27" s="15">
        <v>0.18181818181818182</v>
      </c>
      <c r="M27">
        <f>200/1100</f>
        <v>0.18181818181818182</v>
      </c>
    </row>
    <row r="28" spans="2:13" x14ac:dyDescent="0.3">
      <c r="B28" s="3" t="s">
        <v>74</v>
      </c>
      <c r="C28" s="15">
        <v>1</v>
      </c>
      <c r="D28" s="15">
        <v>0</v>
      </c>
      <c r="E28" s="15">
        <v>1</v>
      </c>
      <c r="I28" s="3" t="s">
        <v>74</v>
      </c>
      <c r="J28" s="15">
        <v>0.6</v>
      </c>
      <c r="K28" s="15">
        <v>0</v>
      </c>
      <c r="L28" s="15">
        <v>0.27272727272727271</v>
      </c>
    </row>
    <row r="29" spans="2:13" x14ac:dyDescent="0.3">
      <c r="B29" s="3" t="s">
        <v>76</v>
      </c>
      <c r="C29" s="15">
        <v>0</v>
      </c>
      <c r="D29" s="15">
        <v>1</v>
      </c>
      <c r="E29" s="15">
        <v>1</v>
      </c>
      <c r="I29" s="3" t="s">
        <v>76</v>
      </c>
      <c r="J29" s="15">
        <v>0</v>
      </c>
      <c r="K29" s="15">
        <v>0.58333333333333337</v>
      </c>
      <c r="L29" s="15">
        <v>0.31818181818181818</v>
      </c>
    </row>
    <row r="30" spans="2:13" x14ac:dyDescent="0.3">
      <c r="B30" s="3" t="s">
        <v>77</v>
      </c>
      <c r="C30" s="15">
        <v>0</v>
      </c>
      <c r="D30" s="15">
        <v>1</v>
      </c>
      <c r="E30" s="15">
        <v>1</v>
      </c>
      <c r="I30" s="3" t="s">
        <v>77</v>
      </c>
      <c r="J30" s="15">
        <v>0</v>
      </c>
      <c r="K30" s="15">
        <v>0.41666666666666669</v>
      </c>
      <c r="L30" s="15">
        <v>0.22727272727272727</v>
      </c>
    </row>
    <row r="31" spans="2:13" x14ac:dyDescent="0.3">
      <c r="B31" s="6" t="s">
        <v>73</v>
      </c>
      <c r="C31" s="15">
        <v>0.5</v>
      </c>
      <c r="D31" s="15">
        <v>0.5</v>
      </c>
      <c r="E31" s="15">
        <v>1</v>
      </c>
      <c r="I31" s="6" t="s">
        <v>73</v>
      </c>
      <c r="J31" s="15">
        <v>1</v>
      </c>
      <c r="K31" s="15">
        <v>1</v>
      </c>
      <c r="L31" s="15">
        <v>1</v>
      </c>
    </row>
    <row r="32" spans="2:13" x14ac:dyDescent="0.3">
      <c r="B32" s="3" t="s">
        <v>75</v>
      </c>
      <c r="C32" s="15">
        <v>1</v>
      </c>
      <c r="D32" s="15">
        <v>0</v>
      </c>
      <c r="E32" s="15">
        <v>1</v>
      </c>
      <c r="I32" s="3" t="s">
        <v>75</v>
      </c>
      <c r="J32" s="15">
        <v>0.2</v>
      </c>
      <c r="K32" s="15">
        <v>0</v>
      </c>
      <c r="L32" s="15">
        <v>0.1</v>
      </c>
    </row>
    <row r="33" spans="2:12" x14ac:dyDescent="0.3">
      <c r="B33" s="3" t="s">
        <v>74</v>
      </c>
      <c r="C33" s="15">
        <v>1</v>
      </c>
      <c r="D33" s="15">
        <v>0</v>
      </c>
      <c r="E33" s="15">
        <v>1</v>
      </c>
      <c r="I33" s="3" t="s">
        <v>74</v>
      </c>
      <c r="J33" s="15">
        <v>0.8</v>
      </c>
      <c r="K33" s="15">
        <v>0</v>
      </c>
      <c r="L33" s="15">
        <v>0.4</v>
      </c>
    </row>
    <row r="34" spans="2:12" x14ac:dyDescent="0.3">
      <c r="B34" s="3" t="s">
        <v>76</v>
      </c>
      <c r="C34" s="15">
        <v>0</v>
      </c>
      <c r="D34" s="15">
        <v>1</v>
      </c>
      <c r="E34" s="15">
        <v>1</v>
      </c>
      <c r="I34" s="3" t="s">
        <v>76</v>
      </c>
      <c r="J34" s="15">
        <v>0</v>
      </c>
      <c r="K34" s="15">
        <v>0.6</v>
      </c>
      <c r="L34" s="15">
        <v>0.3</v>
      </c>
    </row>
    <row r="35" spans="2:12" x14ac:dyDescent="0.3">
      <c r="B35" s="3" t="s">
        <v>77</v>
      </c>
      <c r="C35" s="15">
        <v>0</v>
      </c>
      <c r="D35" s="15">
        <v>1</v>
      </c>
      <c r="E35" s="15">
        <v>1</v>
      </c>
      <c r="I35" s="3" t="s">
        <v>77</v>
      </c>
      <c r="J35" s="15">
        <v>0</v>
      </c>
      <c r="K35" s="15">
        <v>0.4</v>
      </c>
      <c r="L35" s="15">
        <v>0.2</v>
      </c>
    </row>
    <row r="36" spans="2:12" x14ac:dyDescent="0.3">
      <c r="B36" s="6" t="s">
        <v>24</v>
      </c>
      <c r="C36" s="15">
        <v>0.47619047619047616</v>
      </c>
      <c r="D36" s="15">
        <v>0.52380952380952384</v>
      </c>
      <c r="E36" s="15">
        <v>1</v>
      </c>
      <c r="I36" s="6" t="s">
        <v>24</v>
      </c>
      <c r="J36" s="15"/>
      <c r="K36" s="15"/>
      <c r="L36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CalcItem</vt:lpstr>
      <vt:lpstr>CalcField</vt:lpstr>
      <vt:lpstr>CalcItemAndField</vt:lpstr>
      <vt:lpstr>Orders</vt:lpstr>
      <vt:lpstr>Lists</vt:lpstr>
      <vt:lpstr>Data0</vt:lpstr>
      <vt:lpstr>Detail1</vt:lpstr>
      <vt:lpstr>Detail2</vt:lpstr>
      <vt:lpstr>options of Pivot table</vt:lpstr>
      <vt:lpstr>data1</vt:lpstr>
      <vt:lpstr>% of Total</vt:lpstr>
      <vt:lpstr>data2</vt:lpstr>
      <vt:lpstr>% of Parent Total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Anubhav Rastogi</cp:lastModifiedBy>
  <dcterms:created xsi:type="dcterms:W3CDTF">2007-08-05T16:55:15Z</dcterms:created>
  <dcterms:modified xsi:type="dcterms:W3CDTF">2025-12-05T13:04:07Z</dcterms:modified>
</cp:coreProperties>
</file>